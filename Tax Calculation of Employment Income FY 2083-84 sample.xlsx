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ophyte\Downloads\TAX CALCULATION\"/>
    </mc:Choice>
  </mc:AlternateContent>
  <bookViews>
    <workbookView xWindow="0" yWindow="0" windowWidth="23040" windowHeight="8868"/>
  </bookViews>
  <sheets>
    <sheet name="Income Tax-Prakash Gautam" sheetId="3" r:id="rId1"/>
  </sheets>
  <definedNames>
    <definedName name="_xlnm.Print_Area" localSheetId="0">'Income Tax-Prakash Gautam'!$A$1:$J$119</definedName>
    <definedName name="_xlnm.Print_Titles" localSheetId="0">'Income Tax-Prakash Gautam'!$7:$7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3" l="1"/>
  <c r="F24" i="3" s="1"/>
  <c r="H59" i="3"/>
  <c r="H61" i="3"/>
  <c r="H60" i="3"/>
  <c r="H62" i="3"/>
  <c r="C87" i="3"/>
  <c r="I87" i="3" l="1"/>
  <c r="D38" i="3"/>
  <c r="D39" i="3"/>
  <c r="G93" i="3"/>
  <c r="D37" i="3"/>
  <c r="D36" i="3"/>
  <c r="E37" i="3"/>
  <c r="E36" i="3"/>
  <c r="E38" i="3"/>
  <c r="E39" i="3"/>
  <c r="F36" i="3" l="1"/>
  <c r="F37" i="3"/>
  <c r="H37" i="3" s="1"/>
  <c r="F39" i="3"/>
  <c r="H39" i="3" s="1"/>
  <c r="F38" i="3"/>
  <c r="H38" i="3" s="1"/>
  <c r="H115" i="3" l="1"/>
  <c r="H114" i="3"/>
  <c r="C80" i="3"/>
  <c r="D74" i="3"/>
  <c r="F74" i="3" s="1"/>
  <c r="H75" i="3"/>
  <c r="D73" i="3"/>
  <c r="D72" i="3"/>
  <c r="E73" i="3"/>
  <c r="I73" i="3"/>
  <c r="F71" i="3"/>
  <c r="H71" i="3" s="1"/>
  <c r="F70" i="3"/>
  <c r="H70" i="3" s="1"/>
  <c r="F69" i="3"/>
  <c r="F68" i="3"/>
  <c r="D66" i="3"/>
  <c r="H53" i="3"/>
  <c r="B66" i="3"/>
  <c r="H31" i="3"/>
  <c r="F66" i="3" s="1"/>
  <c r="H66" i="3" s="1"/>
  <c r="H29" i="3"/>
  <c r="H32" i="3"/>
  <c r="H33" i="3"/>
  <c r="H34" i="3"/>
  <c r="H35" i="3"/>
  <c r="H36" i="3"/>
  <c r="H41" i="3"/>
  <c r="H42" i="3"/>
  <c r="H27" i="3"/>
  <c r="B49" i="3"/>
  <c r="B51" i="3" s="1"/>
  <c r="G15" i="3"/>
  <c r="F15" i="3" s="1"/>
  <c r="G16" i="3"/>
  <c r="F16" i="3" s="1"/>
  <c r="H24" i="3"/>
  <c r="D23" i="3"/>
  <c r="F20" i="3"/>
  <c r="F28" i="3" s="1"/>
  <c r="D20" i="3"/>
  <c r="F30" i="3"/>
  <c r="H30" i="3" s="1"/>
  <c r="H20" i="3" l="1"/>
  <c r="H74" i="3"/>
  <c r="F73" i="3"/>
  <c r="H73" i="3" s="1"/>
  <c r="F72" i="3"/>
  <c r="H72" i="3" s="1"/>
  <c r="H67" i="3"/>
  <c r="H28" i="3"/>
  <c r="D26" i="3"/>
  <c r="G21" i="3"/>
  <c r="E22" i="3"/>
  <c r="H76" i="3" l="1"/>
  <c r="G51" i="3"/>
  <c r="G49" i="3"/>
  <c r="G43" i="3"/>
  <c r="G23" i="3"/>
  <c r="G45" i="3"/>
  <c r="F21" i="3"/>
  <c r="H21" i="3" s="1"/>
  <c r="E23" i="3"/>
  <c r="F23" i="3" s="1"/>
  <c r="F40" i="3" s="1"/>
  <c r="H40" i="3" s="1"/>
  <c r="G52" i="3" l="1"/>
  <c r="G50" i="3"/>
  <c r="E26" i="3"/>
  <c r="F25" i="3" s="1"/>
  <c r="H25" i="3" s="1"/>
  <c r="F46" i="3"/>
  <c r="F44" i="3"/>
  <c r="F43" i="3"/>
  <c r="H43" i="3" s="1"/>
  <c r="F45" i="3"/>
  <c r="G44" i="3"/>
  <c r="G46" i="3"/>
  <c r="H45" i="3" l="1"/>
  <c r="F51" i="3"/>
  <c r="H51" i="3" s="1"/>
  <c r="H44" i="3"/>
  <c r="H46" i="3"/>
  <c r="F52" i="3"/>
  <c r="H52" i="3" s="1"/>
  <c r="F49" i="3"/>
  <c r="F50" i="3"/>
  <c r="H50" i="3" s="1"/>
  <c r="H49" i="3" l="1"/>
  <c r="H54" i="3" s="1"/>
  <c r="G90" i="3"/>
  <c r="G92" i="3" s="1"/>
  <c r="H94" i="3" s="1"/>
  <c r="G95" i="3" s="1"/>
  <c r="H23" i="3"/>
  <c r="H47" i="3" s="1"/>
  <c r="B110" i="3" l="1"/>
  <c r="H55" i="3"/>
  <c r="H57" i="3" s="1"/>
  <c r="H58" i="3" l="1"/>
  <c r="B109" i="3"/>
  <c r="B107" i="3"/>
  <c r="B108" i="3"/>
  <c r="B106" i="3"/>
  <c r="I58" i="3" l="1"/>
  <c r="H63" i="3"/>
  <c r="H64" i="3" s="1"/>
  <c r="H77" i="3" s="1"/>
  <c r="G80" i="3" s="1"/>
  <c r="H80" i="3" s="1"/>
  <c r="B105" i="3"/>
  <c r="I80" i="3" l="1"/>
  <c r="G81" i="3" s="1"/>
  <c r="H81" i="3" s="1"/>
  <c r="I81" i="3" l="1"/>
  <c r="G82" i="3" s="1"/>
  <c r="H82" i="3" s="1"/>
  <c r="I82" i="3" l="1"/>
  <c r="G83" i="3" l="1"/>
  <c r="H83" i="3" s="1"/>
  <c r="I83" i="3" l="1"/>
  <c r="G84" i="3" l="1"/>
  <c r="H84" i="3" s="1"/>
  <c r="H85" i="3" s="1"/>
  <c r="H87" i="3" l="1"/>
  <c r="H97" i="3" s="1"/>
  <c r="H98" i="3" s="1"/>
  <c r="I84" i="3"/>
  <c r="D102" i="3" l="1"/>
  <c r="H102" i="3" s="1"/>
  <c r="D101" i="3" s="1"/>
  <c r="H101" i="3" s="1"/>
  <c r="I102" i="3" l="1"/>
  <c r="I101" i="3"/>
</calcChain>
</file>

<file path=xl/sharedStrings.xml><?xml version="1.0" encoding="utf-8"?>
<sst xmlns="http://schemas.openxmlformats.org/spreadsheetml/2006/main" count="195" uniqueCount="171">
  <si>
    <t>बासिन्दा</t>
  </si>
  <si>
    <t>व्यक्तिगत तथा रोजगारी सम्बन्धी विवरणः</t>
  </si>
  <si>
    <t>नामः</t>
  </si>
  <si>
    <t>एकल / दम्पत्तिः</t>
  </si>
  <si>
    <t>पान नं.:</t>
  </si>
  <si>
    <t>क्र.सं.</t>
  </si>
  <si>
    <t>विवरण</t>
  </si>
  <si>
    <t>दर</t>
  </si>
  <si>
    <t>परिमाण</t>
  </si>
  <si>
    <t>जम्मा रकम रु.</t>
  </si>
  <si>
    <t>कैफियत</t>
  </si>
  <si>
    <t>बासिन्दा / गैरबासिन्दाः</t>
  </si>
  <si>
    <t>तलव</t>
  </si>
  <si>
    <t>ग्रेड</t>
  </si>
  <si>
    <t>विमा थप</t>
  </si>
  <si>
    <t>महँगी भत्ता</t>
  </si>
  <si>
    <t>चाडपर्व भत्ता</t>
  </si>
  <si>
    <t>पोशाक भत्ता</t>
  </si>
  <si>
    <t>निर्धारणयोग्य आयबाट घटाउन पाउनेः</t>
  </si>
  <si>
    <t>रोजगारीको आयमा समावेश हुने रकमः</t>
  </si>
  <si>
    <t>स्थानीय भत्ता</t>
  </si>
  <si>
    <t>क.सं.कोष कट्टी</t>
  </si>
  <si>
    <t>ना.ल.कोष कट्टी</t>
  </si>
  <si>
    <t>अवकाश कोषमा वास्तविक योगदान</t>
  </si>
  <si>
    <t>योगदान मध्ये छुट सुविधा पाउने</t>
  </si>
  <si>
    <t>निर्धारणयोग्य आयको एक तिहाई</t>
  </si>
  <si>
    <t>तुलनायोग्य रकम</t>
  </si>
  <si>
    <t>निर्धारणयोग्य आयको एक तिहाई वा स्वीकृत अवकाश कोषमा वास्तविक योगदान वा ५ लाख मध्ये जुन घटी हुन्छ त्यही</t>
  </si>
  <si>
    <t>बर्गानुसार अधिकतम क=५०, ख=४०, ग=३०, घ=२०, ङ=१० हजार</t>
  </si>
  <si>
    <t>करयोग्य आयबाट घटाउन पाउनेः</t>
  </si>
  <si>
    <t xml:space="preserve">करयोग्य आयबाट घटाउन पाउने जम्मा रकमः </t>
  </si>
  <si>
    <t xml:space="preserve">कर गणना तालिकाः </t>
  </si>
  <si>
    <t>करको दर</t>
  </si>
  <si>
    <t>सीमा</t>
  </si>
  <si>
    <t>पहिलो</t>
  </si>
  <si>
    <t>दोस्रो</t>
  </si>
  <si>
    <t>तेस्रो</t>
  </si>
  <si>
    <t>चौथो</t>
  </si>
  <si>
    <t>पाँचौं</t>
  </si>
  <si>
    <t>तह/Slab</t>
  </si>
  <si>
    <t>१ प्रतिशत</t>
  </si>
  <si>
    <t>१० प्रतिशत</t>
  </si>
  <si>
    <t>२० प्रतिशत</t>
  </si>
  <si>
    <t>वाँकी आय रकम रु.</t>
  </si>
  <si>
    <t>करयोग्य आय रकम</t>
  </si>
  <si>
    <t>बार्षिक कर दायित्व रु.</t>
  </si>
  <si>
    <t xml:space="preserve">तिर्नुपर्ने करमा छुट / कर मिलानः  </t>
  </si>
  <si>
    <t>विल रकमको १५%</t>
  </si>
  <si>
    <t>कुल कर दायित्व (बार्षिक)</t>
  </si>
  <si>
    <t>जम्मा कर छुट / कर मिलान रकम रु.</t>
  </si>
  <si>
    <t>मासिक कर दायित्वः</t>
  </si>
  <si>
    <t>माथि उल्लेख गरिएका विवरणहरु तथा कर गणना गरिएको रकमहरु ठीक छन् । विवरणमा केही परिवर्तन गर्नुपर्ने भएमा वा मिलाउनु पर्ने देखिएमा हाल कार्यरत कार्यालयको लेखा शाखामा समयमै प्रमाण सहित लिखित जानकारी गराउनेछु ।</t>
  </si>
  <si>
    <t>हस्ताक्षरः</t>
  </si>
  <si>
    <t>नेपाल सरकार</t>
  </si>
  <si>
    <t>पदः</t>
  </si>
  <si>
    <t>श्रेणिः</t>
  </si>
  <si>
    <t>सेवाः</t>
  </si>
  <si>
    <t>समूहः</t>
  </si>
  <si>
    <t>अपाङ्गताः</t>
  </si>
  <si>
    <t>अन्य</t>
  </si>
  <si>
    <t>चाडपर्व मान्ने महिनाः</t>
  </si>
  <si>
    <t>आश्विन</t>
  </si>
  <si>
    <t>ग्रेड वृद्धि हुने महिनाः</t>
  </si>
  <si>
    <t>चैत्र</t>
  </si>
  <si>
    <t>ग्रेड संख्या</t>
  </si>
  <si>
    <t>प्रविधिक ग्रेड (भएमा मात्र)</t>
  </si>
  <si>
    <t>स्थानीय  (दुर्गम क्षेत्र) भत्ता</t>
  </si>
  <si>
    <t>निवृत्तिभरण कोष भएमा मात्र (6%)</t>
  </si>
  <si>
    <t>अधिकतम २० हजार रुपैंया</t>
  </si>
  <si>
    <t>बैदेशिक भत्तामा छुट बार्षिक (कुटनीतिक नियोगका कर्मचारीले प्राप्त गर्ने)</t>
  </si>
  <si>
    <t>बैदेशिक भत्ताको ७५ प्रतिशत छुट</t>
  </si>
  <si>
    <t>अपाङ्ग व्यक्तिले पाउने छुट सुविधा</t>
  </si>
  <si>
    <t xml:space="preserve">नोटः </t>
  </si>
  <si>
    <t xml:space="preserve">  Request: Please use this calculator with caution! Take advice from your tax consultant!</t>
  </si>
  <si>
    <t>Template By: Prakash Gautam</t>
  </si>
  <si>
    <t xml:space="preserve">लिङ्गः </t>
  </si>
  <si>
    <t xml:space="preserve">निवृत्तिभरण कोष कट्टीः </t>
  </si>
  <si>
    <t xml:space="preserve">दुर्गम क्षेत्रः </t>
  </si>
  <si>
    <t>पारिश्रमिक कर तर्फः</t>
  </si>
  <si>
    <t xml:space="preserve">मासिक आय रकम रु. </t>
  </si>
  <si>
    <t xml:space="preserve">मासिक कर रकम रु. </t>
  </si>
  <si>
    <t xml:space="preserve">कुल मासिक </t>
  </si>
  <si>
    <t>छैन</t>
  </si>
  <si>
    <t>प्रोत्साहन भत्ता</t>
  </si>
  <si>
    <t>जिल्लाः</t>
  </si>
  <si>
    <t>पहाडी/तराई</t>
  </si>
  <si>
    <t>अतिरिक्त समय भत्ता</t>
  </si>
  <si>
    <t>बार्षिक जोडजम्मा गर्ने</t>
  </si>
  <si>
    <t>ग्रेड (ग्रेड वृद्धि हुनु अघि)</t>
  </si>
  <si>
    <t>ग्रेड (ग्रेड वृद्धि भएपश्चात)</t>
  </si>
  <si>
    <t>तलव / पारिश्रमिक (आधारभूत)</t>
  </si>
  <si>
    <t xml:space="preserve">अन्य सुविधा / भुक्तानी </t>
  </si>
  <si>
    <t>चारित्रिकरण/परिमाणिकरण भएका थप सुविधा</t>
  </si>
  <si>
    <t>‍</t>
  </si>
  <si>
    <t xml:space="preserve">आ.ब.२०८३/८४ को रोजगारीको आयको कर गणना </t>
  </si>
  <si>
    <t>थप खुलासा</t>
  </si>
  <si>
    <t>अन्तिम ग्रेड हो / होइन?</t>
  </si>
  <si>
    <t>अन्तिम ग्रेड हो</t>
  </si>
  <si>
    <t>(ग्रेड वृद्धि भएपश्चात)</t>
  </si>
  <si>
    <t>(ग्रेड वृद्धि हुनु अघि)</t>
  </si>
  <si>
    <t>हिमाली भए छान्ने</t>
  </si>
  <si>
    <t>निवृत्तीभरण कोष कट्टी</t>
  </si>
  <si>
    <t>(सरकारी विमा)</t>
  </si>
  <si>
    <t>(आधारभूत तलवको १०%)</t>
  </si>
  <si>
    <t xml:space="preserve">क.सं.कोष थप </t>
  </si>
  <si>
    <t xml:space="preserve">निवृत्तिभरण कोष थप </t>
  </si>
  <si>
    <t>व्यक्तिगत प्रयोजनको खर्चको सोधभर्ना भुक्तानी</t>
  </si>
  <si>
    <t>निर्धारणयोग्य आयबाट कानून बमोजिम घटाउन पाउने अन्य रकम</t>
  </si>
  <si>
    <t>निर्धारणयोग्य आयबाट घटाउन पाउने कुल रकम</t>
  </si>
  <si>
    <t>[20-32]</t>
  </si>
  <si>
    <t>संख्या</t>
  </si>
  <si>
    <t>जम्मा प्रिमियम</t>
  </si>
  <si>
    <t xml:space="preserve">लगानी जीवन बीमा अधिकतम 40 हजार </t>
  </si>
  <si>
    <t>लगानी जीवन विमा प्रिमियम - सरकारी</t>
  </si>
  <si>
    <t>लगानी जीवन विमा प्रिमियम - निजि</t>
  </si>
  <si>
    <t>विमा प्रिमियम भुक्तानी</t>
  </si>
  <si>
    <t>स्वास्थ्य विमा प्रिमियम (बार्षिक)</t>
  </si>
  <si>
    <t>करदाताको स्वमित्वमा रहेको निजी भवनको बीमा प्रिमियम (बार्षिक)</t>
  </si>
  <si>
    <t>अधिकतम 10 हजार रुपैंया</t>
  </si>
  <si>
    <t>अन्य छुट सुविधा (भएमा मात्र)</t>
  </si>
  <si>
    <t>[33-४२]</t>
  </si>
  <si>
    <t>थ्रेसहोल्ड</t>
  </si>
  <si>
    <t>27 प्रतिशत</t>
  </si>
  <si>
    <t>29 प्रतिशत</t>
  </si>
  <si>
    <t>पहिलो तह भन्दा बढी ५ लाखमा</t>
  </si>
  <si>
    <t>दोस्रो तह भन्दा बढी १० लाखमा</t>
  </si>
  <si>
    <t>तेस्रो तह भन्दा बढी तर १५ लाख सम्म</t>
  </si>
  <si>
    <t>४० लाख भन्दा बढीमा</t>
  </si>
  <si>
    <t>वाँकी सवैमा</t>
  </si>
  <si>
    <t>व्यक्तिगत/एकल</t>
  </si>
  <si>
    <t xml:space="preserve">* रातो रङको अक्षरमा Edit गर्न सकिने । फिका खैरो छाँया परेको र रातो रङको अक्षर भएको भागमा Dropdown Box बाट छान्नु पर्नेछ । </t>
  </si>
  <si>
    <t>नहुने</t>
  </si>
  <si>
    <t xml:space="preserve">सामाजिक सुरक्षा कर तर्फः </t>
  </si>
  <si>
    <t>खुद कर दायित्व (बार्षिक)</t>
  </si>
  <si>
    <t>सवारी / गाडी सुविधा (ग्रेड वृद्धि हुनु अघि)</t>
  </si>
  <si>
    <t>सवारी / गाडी सुविधा (ग्रेड वृद्धि भएपश्चात)</t>
  </si>
  <si>
    <t>आवास सुविधा (ग्रेड वृद्धि हुनु अघि)</t>
  </si>
  <si>
    <t>आवास सुविधा (ग्रेड वृद्धि भएपश्चात)</t>
  </si>
  <si>
    <t>व्यक्तिगत प्रयोजनका लागि उपलब्ध गराईएको आवास</t>
  </si>
  <si>
    <t>नेपाल सरकारले थप गरेको १०%</t>
  </si>
  <si>
    <t>सहुलियतपूर्ण कर्जा सुविधामा सहुलियत प्राप्त गरेको व्याज बराबरको रकम</t>
  </si>
  <si>
    <t xml:space="preserve">भुक्तानी रकमको २५% वा २५ हजार सम्मको छुट </t>
  </si>
  <si>
    <t xml:space="preserve">कानूनले प्रदान गरेका छुट </t>
  </si>
  <si>
    <t>व्यक्तिगत प्रयोजनको धारा, बिजुली, टेलिफोन जस्ता सेवावापतको भुक्तानी बराबरको रकम</t>
  </si>
  <si>
    <t>भुक्तानी बराबरको रकम</t>
  </si>
  <si>
    <t>घरेलु सहायकको सेवा (सुरक्षाकर्मी, भान्से, माली, सवारीचालक आदि) वापतको भुक्तानी</t>
  </si>
  <si>
    <t xml:space="preserve"> (दफा-१२)</t>
  </si>
  <si>
    <t>कर छुट हुने संस्थालाई दिइएको चन्दा उपहार (३ लाख वा समायोजित करयोग्य आयको ५% मध्ये जुन घटी हुन्छ त्यही)</t>
  </si>
  <si>
    <t>(दफा १२ख.)</t>
  </si>
  <si>
    <t xml:space="preserve">प्र.म. दैवी प्रकोप उद्वार कोष/ने.स. राष्ट्रिय पूनर्निर्माण कोषमा योगदान गरेको सम्पूर्ण रकम </t>
  </si>
  <si>
    <t>पूर्ण वा आंशिक रुपमा व्यक्तिगत प्रयोजनको लागि उपलब्ध गाडी / खाईपाई आएको तलवको ०.५०%</t>
  </si>
  <si>
    <t>मितिः २०८३/०४/०१</t>
  </si>
  <si>
    <t>पुरुष</t>
  </si>
  <si>
    <t>निर्धारणयोग्य आय (Assessable Income)</t>
  </si>
  <si>
    <t>करयोग्य आय (Taxable Income) [कुल]</t>
  </si>
  <si>
    <t xml:space="preserve"> कर गणनाका लागि कायम हुने करयोग्य आय (Taxable Income) [खुद]</t>
  </si>
  <si>
    <t>(दफा १२ग.)</t>
  </si>
  <si>
    <t xml:space="preserve">स्टार्ट अप व्यवसाय बीउ पुँजी अनुदान (सम्वद्ध व्यक्ति वाहेकलाई दिईएको प्रति व्यवसाय रु. १ लाख सम्मको) </t>
  </si>
  <si>
    <t>विगतमा औषधि उपचार खर्च बापत कर मिलान गर्न वाँकी रकम</t>
  </si>
  <si>
    <t>औषधि उपचार खर्च बापत चालु आ.व.मा कर मिलान हुन सक्ने जम्मा रकम</t>
  </si>
  <si>
    <t>चालु आ.ब. मा मिलान हुने औषधि उपचार खर्चबापतको रकम रु.</t>
  </si>
  <si>
    <t xml:space="preserve">दफा ५१ र नियम १७ को उपनियम (३) अनुसारको "स्वीकृत औषधि उपचार खर्चको विल बमोजिमको रकमको १५% + विगतको जिम्मेवारी सरेको समेत वा १,५००/- रुपैंयामा जुन घटी हुन्छ त्यही" रकम तिर्नुपर्ने करमा मिलान गर्न सकिने । </t>
  </si>
  <si>
    <t>दफा ७१</t>
  </si>
  <si>
    <r>
      <t xml:space="preserve">बैदेशिक कर मिलान </t>
    </r>
    <r>
      <rPr>
        <sz val="12"/>
        <color theme="1"/>
        <rFont val="Kalimati"/>
        <charset val="1"/>
      </rPr>
      <t>(नेपालको करको औषत दर अर्थात "विदेशी कर मिलान भन्दा अघि लाग्ने कर/करयोग्य आय X १००%" भन्दा बढी बैदेशिक कर मिलान नहुने । यसरी हिसाव गर्दा वैदेशिक आय समेत नेपालको निर्रधारणयोग्य आयमा समावेश गरिनुपर्ने)</t>
    </r>
  </si>
  <si>
    <t>सन्तती शिक्षण शुल्क छुट सुविधा (ऐनको अनुसूची १ को दफा १ को उपदफा-१६ख)</t>
  </si>
  <si>
    <r>
      <t xml:space="preserve">स्वीकृत औषधि उपचार खर्चमा छुट मिलानः </t>
    </r>
    <r>
      <rPr>
        <sz val="12"/>
        <color theme="1"/>
        <rFont val="Kalimati"/>
        <charset val="1"/>
      </rPr>
      <t>(स्वास्थ वीमा प्रिमियम खर्च छुट दावी नलिएकोमा मात्र)</t>
    </r>
  </si>
  <si>
    <t>विल रकम रु. ‍ (कस्मेटिक सर्जरी र वीमाबाट क्षतिपूर्ति प्राप्त गरेको खर्च बाहेक)</t>
  </si>
  <si>
    <t>आगामी बर्षका लागि जिम्मेवारी सारिएको (अनन्त कालसम्म सार्न पाइने) औषधि उपचार खर्चबापतको रकम रु.</t>
  </si>
  <si>
    <t>समायोजित करयोग्य आय</t>
  </si>
  <si>
    <t xml:space="preserve">sample 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</si>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</sst>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00439]0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Kalimati"/>
      <charset val="1"/>
    </font>
    <font>
      <b/>
      <sz val="12"/>
      <color theme="1"/>
      <name val="Kalimati"/>
      <charset val="1"/>
    </font>
    <font>
      <b/>
      <sz val="14"/>
      <color theme="1"/>
      <name val="Kalimati"/>
      <charset val="1"/>
    </font>
    <font>
      <b/>
      <i/>
      <sz val="12"/>
      <color theme="1"/>
      <name val="Kalimati"/>
      <charset val="1"/>
    </font>
    <font>
      <sz val="12"/>
      <color rgb="FFC00000"/>
      <name val="Kalimati"/>
      <charset val="1"/>
    </font>
    <font>
      <b/>
      <sz val="16"/>
      <color rgb="FFC00000"/>
      <name val="Kalimati"/>
      <charset val="1"/>
    </font>
    <font>
      <sz val="11"/>
      <color theme="1"/>
      <name val="Kalimati"/>
      <charset val="1"/>
    </font>
    <font>
      <b/>
      <sz val="9"/>
      <color rgb="FFFF0000"/>
      <name val="Kalimati"/>
      <charset val="1"/>
    </font>
    <font>
      <b/>
      <sz val="16"/>
      <color rgb="FF002060"/>
      <name val="Kalimati"/>
      <charset val="1"/>
    </font>
    <font>
      <b/>
      <sz val="14"/>
      <color rgb="FF002060"/>
      <name val="Kalimati"/>
      <charset val="1"/>
    </font>
    <font>
      <sz val="12"/>
      <name val="Kalimati"/>
      <charset val="1"/>
    </font>
    <font>
      <i/>
      <sz val="12"/>
      <color theme="1"/>
      <name val="Kalimati"/>
      <charset val="1"/>
    </font>
    <font>
      <b/>
      <i/>
      <sz val="12"/>
      <color rgb="FFC00000"/>
      <name val="Kalimati"/>
      <charset val="1"/>
    </font>
    <font>
      <i/>
      <sz val="12"/>
      <color rgb="FF00B050"/>
      <name val="Utsaah"/>
      <family val="2"/>
    </font>
    <font>
      <i/>
      <sz val="12"/>
      <color theme="5" tint="-0.249977111117893"/>
      <name val="Utsaah"/>
      <family val="2"/>
    </font>
    <font>
      <sz val="8"/>
      <color rgb="FFC00000"/>
      <name val="Kalimati"/>
      <charset val="1"/>
    </font>
    <font>
      <i/>
      <sz val="12"/>
      <color rgb="FF7030A0"/>
      <name val="Kalimati"/>
      <charset val="1"/>
    </font>
    <font>
      <b/>
      <sz val="12"/>
      <color rgb="FFC00000"/>
      <name val="Kalimati"/>
      <charset val="1"/>
    </font>
    <font>
      <sz val="12"/>
      <color theme="5" tint="-0.249977111117893"/>
      <name val="Kalimati"/>
      <charset val="1"/>
    </font>
    <font>
      <b/>
      <sz val="13"/>
      <color rgb="FFC00000"/>
      <name val="Kalimati"/>
      <charset val="1"/>
    </font>
    <font>
      <b/>
      <sz val="12"/>
      <color rgb="FF0070C0"/>
      <name val="Kalimati"/>
      <charset val="1"/>
    </font>
    <font>
      <b/>
      <sz val="12"/>
      <name val="Kalimati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rgb="FF002060"/>
      </top>
      <bottom style="thin">
        <color indexed="64"/>
      </bottom>
      <diagonal/>
    </border>
    <border>
      <left/>
      <right style="thin">
        <color indexed="64"/>
      </right>
      <top style="thick">
        <color rgb="FF002060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rgb="FF00206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rgb="FF002060"/>
      </bottom>
      <diagonal/>
    </border>
    <border>
      <left style="thin">
        <color theme="0" tint="-0.14996795556505021"/>
      </left>
      <right style="thick">
        <color rgb="FF002060"/>
      </right>
      <top style="thin">
        <color theme="0" tint="-0.14996795556505021"/>
      </top>
      <bottom style="thick">
        <color rgb="FF0020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43" fontId="3" fillId="0" borderId="1" xfId="1" applyFont="1" applyBorder="1" applyAlignment="1">
      <alignment vertical="center"/>
    </xf>
    <xf numFmtId="43" fontId="5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3" fontId="5" fillId="0" borderId="1" xfId="1" applyFon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2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2" fillId="0" borderId="12" xfId="0" applyNumberFormat="1" applyFont="1" applyBorder="1" applyAlignment="1">
      <alignment horizontal="center" vertical="center"/>
    </xf>
    <xf numFmtId="43" fontId="3" fillId="0" borderId="12" xfId="0" applyNumberFormat="1" applyFont="1" applyBorder="1" applyAlignment="1">
      <alignment vertical="center"/>
    </xf>
    <xf numFmtId="43" fontId="3" fillId="0" borderId="17" xfId="1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3" fontId="12" fillId="0" borderId="1" xfId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3" fontId="2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2" fillId="0" borderId="7" xfId="0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1" xfId="0" applyNumberFormat="1" applyFont="1" applyFill="1" applyBorder="1" applyAlignment="1">
      <alignment vertical="center" wrapText="1"/>
    </xf>
    <xf numFmtId="164" fontId="2" fillId="4" borderId="5" xfId="0" applyNumberFormat="1" applyFont="1" applyFill="1" applyBorder="1" applyAlignment="1">
      <alignment horizontal="center" vertical="center"/>
    </xf>
    <xf numFmtId="43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43" fontId="2" fillId="0" borderId="7" xfId="1" applyFont="1" applyBorder="1" applyAlignment="1">
      <alignment vertical="center"/>
    </xf>
    <xf numFmtId="43" fontId="2" fillId="0" borderId="7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vertical="center"/>
    </xf>
    <xf numFmtId="164" fontId="3" fillId="4" borderId="1" xfId="0" applyNumberFormat="1" applyFont="1" applyFill="1" applyBorder="1" applyAlignment="1">
      <alignment horizontal="center" vertical="center"/>
    </xf>
    <xf numFmtId="43" fontId="3" fillId="4" borderId="7" xfId="0" applyNumberFormat="1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43" fontId="3" fillId="4" borderId="1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43" fontId="12" fillId="0" borderId="1" xfId="1" applyFont="1" applyBorder="1" applyAlignment="1">
      <alignment horizontal="center" vertical="center"/>
    </xf>
    <xf numFmtId="0" fontId="16" fillId="2" borderId="10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165" fontId="2" fillId="0" borderId="12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0" fontId="14" fillId="0" borderId="12" xfId="0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5" borderId="27" xfId="0" applyFont="1" applyFill="1" applyBorder="1" applyAlignment="1" applyProtection="1">
      <alignment vertical="center"/>
      <protection locked="0"/>
    </xf>
    <xf numFmtId="0" fontId="14" fillId="5" borderId="29" xfId="0" applyFont="1" applyFill="1" applyBorder="1" applyAlignment="1" applyProtection="1">
      <alignment vertical="center"/>
      <protection locked="0"/>
    </xf>
    <xf numFmtId="164" fontId="14" fillId="0" borderId="13" xfId="0" applyNumberFormat="1" applyFont="1" applyBorder="1" applyAlignment="1" applyProtection="1">
      <alignment horizontal="left" vertical="center"/>
      <protection locked="0"/>
    </xf>
    <xf numFmtId="0" fontId="14" fillId="5" borderId="28" xfId="0" applyFont="1" applyFill="1" applyBorder="1" applyAlignment="1" applyProtection="1">
      <alignment vertical="center"/>
      <protection locked="0"/>
    </xf>
    <xf numFmtId="0" fontId="14" fillId="5" borderId="30" xfId="0" applyFont="1" applyFill="1" applyBorder="1" applyAlignment="1" applyProtection="1">
      <alignment vertical="center"/>
      <protection locked="0"/>
    </xf>
    <xf numFmtId="43" fontId="6" fillId="0" borderId="1" xfId="1" applyFont="1" applyBorder="1" applyAlignment="1" applyProtection="1">
      <alignment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43" fontId="20" fillId="0" borderId="0" xfId="0" applyNumberFormat="1" applyFont="1" applyAlignment="1" applyProtection="1">
      <alignment horizontal="center" vertical="center"/>
      <protection locked="0"/>
    </xf>
    <xf numFmtId="43" fontId="2" fillId="0" borderId="0" xfId="0" applyNumberFormat="1" applyFont="1" applyAlignment="1" applyProtection="1">
      <alignment vertical="center"/>
      <protection locked="0"/>
    </xf>
    <xf numFmtId="43" fontId="12" fillId="0" borderId="1" xfId="1" applyFont="1" applyBorder="1" applyAlignment="1" applyProtection="1">
      <alignment vertical="center"/>
    </xf>
    <xf numFmtId="0" fontId="19" fillId="0" borderId="12" xfId="0" applyFont="1" applyBorder="1" applyAlignment="1">
      <alignment vertical="center"/>
    </xf>
    <xf numFmtId="43" fontId="21" fillId="4" borderId="5" xfId="0" applyNumberFormat="1" applyFont="1" applyFill="1" applyBorder="1" applyAlignment="1">
      <alignment vertical="center"/>
    </xf>
    <xf numFmtId="43" fontId="19" fillId="0" borderId="17" xfId="1" applyFont="1" applyBorder="1" applyAlignment="1">
      <alignment vertical="center"/>
    </xf>
    <xf numFmtId="43" fontId="21" fillId="4" borderId="1" xfId="0" applyNumberFormat="1" applyFont="1" applyFill="1" applyBorder="1" applyAlignment="1">
      <alignment horizontal="right" vertical="center" wrapText="1"/>
    </xf>
    <xf numFmtId="43" fontId="21" fillId="4" borderId="5" xfId="0" applyNumberFormat="1" applyFont="1" applyFill="1" applyBorder="1" applyAlignment="1">
      <alignment horizontal="right" vertical="center" wrapText="1"/>
    </xf>
    <xf numFmtId="164" fontId="2" fillId="0" borderId="16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vertical="center"/>
    </xf>
    <xf numFmtId="43" fontId="19" fillId="0" borderId="13" xfId="0" applyNumberFormat="1" applyFont="1" applyBorder="1" applyAlignment="1">
      <alignment horizontal="center" vertical="center"/>
    </xf>
    <xf numFmtId="43" fontId="19" fillId="0" borderId="18" xfId="0" applyNumberFormat="1" applyFont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12" fillId="0" borderId="1" xfId="0" applyFont="1" applyBorder="1" applyAlignment="1">
      <alignment vertical="center"/>
    </xf>
    <xf numFmtId="10" fontId="12" fillId="0" borderId="1" xfId="1" applyNumberFormat="1" applyFont="1" applyBorder="1" applyAlignment="1" applyProtection="1">
      <alignment horizontal="center" vertical="center"/>
    </xf>
    <xf numFmtId="43" fontId="2" fillId="0" borderId="1" xfId="0" applyNumberFormat="1" applyFont="1" applyBorder="1" applyAlignment="1">
      <alignment horizontal="left" vertical="center"/>
    </xf>
    <xf numFmtId="43" fontId="6" fillId="0" borderId="1" xfId="0" applyNumberFormat="1" applyFont="1" applyBorder="1" applyAlignment="1" applyProtection="1">
      <alignment horizontal="center" vertical="center"/>
      <protection locked="0"/>
    </xf>
    <xf numFmtId="43" fontId="6" fillId="0" borderId="1" xfId="0" applyNumberFormat="1" applyFont="1" applyBorder="1" applyAlignment="1" applyProtection="1">
      <alignment vertical="center"/>
      <protection locked="0"/>
    </xf>
    <xf numFmtId="43" fontId="22" fillId="0" borderId="0" xfId="1" applyFont="1" applyBorder="1" applyAlignment="1">
      <alignment vertical="center"/>
    </xf>
    <xf numFmtId="0" fontId="22" fillId="0" borderId="0" xfId="0" applyFont="1" applyAlignment="1">
      <alignment horizontal="right" vertical="center"/>
    </xf>
    <xf numFmtId="43" fontId="22" fillId="0" borderId="15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right" vertical="center"/>
    </xf>
    <xf numFmtId="43" fontId="2" fillId="4" borderId="7" xfId="0" applyNumberFormat="1" applyFont="1" applyFill="1" applyBorder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7" fillId="2" borderId="8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8" fillId="0" borderId="35" xfId="0" applyFont="1" applyBorder="1" applyAlignment="1">
      <alignment horizontal="left" vertical="center"/>
    </xf>
    <xf numFmtId="0" fontId="18" fillId="0" borderId="36" xfId="0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34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3" borderId="19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right" vertical="center"/>
    </xf>
    <xf numFmtId="0" fontId="21" fillId="4" borderId="3" xfId="0" applyFont="1" applyFill="1" applyBorder="1" applyAlignment="1">
      <alignment horizontal="right" vertical="center"/>
    </xf>
    <xf numFmtId="0" fontId="21" fillId="4" borderId="4" xfId="0" applyFont="1" applyFill="1" applyBorder="1" applyAlignment="1">
      <alignment horizontal="right" vertical="center"/>
    </xf>
    <xf numFmtId="0" fontId="21" fillId="4" borderId="5" xfId="0" applyFont="1" applyFill="1" applyBorder="1" applyAlignment="1">
      <alignment horizontal="right" vertical="center"/>
    </xf>
    <xf numFmtId="0" fontId="21" fillId="4" borderId="22" xfId="0" applyFont="1" applyFill="1" applyBorder="1" applyAlignment="1">
      <alignment horizontal="right" vertical="center"/>
    </xf>
    <xf numFmtId="0" fontId="21" fillId="4" borderId="23" xfId="0" applyFont="1" applyFill="1" applyBorder="1" applyAlignment="1">
      <alignment horizontal="right" vertical="center"/>
    </xf>
    <xf numFmtId="0" fontId="21" fillId="4" borderId="24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3" fontId="2" fillId="0" borderId="5" xfId="0" applyNumberFormat="1" applyFont="1" applyBorder="1" applyAlignment="1">
      <alignment horizontal="center" vertical="center"/>
    </xf>
    <xf numFmtId="43" fontId="2" fillId="0" borderId="6" xfId="0" applyNumberFormat="1" applyFont="1" applyBorder="1" applyAlignment="1">
      <alignment horizontal="center" vertical="center"/>
    </xf>
    <xf numFmtId="43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view="pageBreakPreview" topLeftCell="A78" zoomScaleNormal="100" zoomScaleSheetLayoutView="100" workbookViewId="0">
      <selection activeCell="C15" sqref="C15"/>
    </sheetView>
  </sheetViews>
  <sheetFormatPr defaultRowHeight="24" x14ac:dyDescent="0.3"/>
  <cols>
    <col min="1" max="1" width="1.6640625" style="1" customWidth="1"/>
    <col min="2" max="2" width="9.88671875" style="1" bestFit="1" customWidth="1"/>
    <col min="3" max="3" width="41.44140625" style="1" customWidth="1"/>
    <col min="4" max="4" width="18.6640625" style="1" bestFit="1" customWidth="1"/>
    <col min="5" max="5" width="19.88671875" style="1" bestFit="1" customWidth="1"/>
    <col min="6" max="6" width="20" style="15" bestFit="1" customWidth="1"/>
    <col min="7" max="7" width="20.44140625" style="2" bestFit="1" customWidth="1"/>
    <col min="8" max="8" width="23.88671875" style="1" bestFit="1" customWidth="1"/>
    <col min="9" max="9" width="25.44140625" style="2" customWidth="1"/>
    <col min="10" max="10" width="1.6640625" style="1" customWidth="1"/>
    <col min="11" max="11" width="14.109375" style="1" bestFit="1" customWidth="1"/>
    <col min="12" max="16384" width="8.88671875" style="1"/>
  </cols>
  <sheetData>
    <row r="1" spans="2:9" ht="9" customHeight="1" x14ac:dyDescent="0.3"/>
    <row r="2" spans="2:9" x14ac:dyDescent="0.3">
      <c r="B2" s="133" t="s">
        <v>53</v>
      </c>
      <c r="C2" s="133"/>
      <c r="D2" s="133"/>
      <c r="E2" s="133"/>
      <c r="F2" s="133"/>
      <c r="G2" s="133"/>
      <c r="H2" s="133"/>
      <c r="I2" s="133"/>
    </row>
    <row r="3" spans="2:9" x14ac:dyDescent="0.3">
      <c r="B3" s="133" t="s">
        <v>169</v>
      </c>
      <c r="C3" s="133"/>
      <c r="D3" s="133"/>
      <c r="E3" s="133"/>
      <c r="F3" s="133"/>
      <c r="G3" s="133"/>
      <c r="H3" s="133"/>
      <c r="I3" s="133"/>
    </row>
    <row r="4" spans="2:9" ht="32.4" x14ac:dyDescent="0.3">
      <c r="B4" s="134" t="s">
        <v>169</v>
      </c>
      <c r="C4" s="134"/>
      <c r="D4" s="134"/>
      <c r="E4" s="134"/>
      <c r="F4" s="134"/>
      <c r="G4" s="134"/>
      <c r="H4" s="134"/>
      <c r="I4" s="134"/>
    </row>
    <row r="5" spans="2:9" ht="32.4" x14ac:dyDescent="0.3">
      <c r="B5" s="134" t="s">
        <v>169</v>
      </c>
      <c r="C5" s="134"/>
      <c r="D5" s="134"/>
      <c r="E5" s="134"/>
      <c r="F5" s="134"/>
      <c r="G5" s="134"/>
      <c r="H5" s="134"/>
      <c r="I5" s="134"/>
    </row>
    <row r="6" spans="2:9" ht="7.8" customHeight="1" x14ac:dyDescent="0.3">
      <c r="B6" s="135"/>
      <c r="C6" s="135"/>
      <c r="D6" s="135"/>
      <c r="E6" s="135"/>
      <c r="F6" s="135"/>
      <c r="G6" s="135"/>
      <c r="H6" s="135"/>
      <c r="I6" s="135"/>
    </row>
    <row r="7" spans="2:9" ht="32.4" x14ac:dyDescent="0.3">
      <c r="B7" s="136" t="s">
        <v>94</v>
      </c>
      <c r="C7" s="136"/>
      <c r="D7" s="136"/>
      <c r="E7" s="136"/>
      <c r="F7" s="136"/>
      <c r="G7" s="136"/>
      <c r="H7" s="136"/>
      <c r="I7" s="136"/>
    </row>
    <row r="8" spans="2:9" ht="8.4" customHeight="1" thickBot="1" x14ac:dyDescent="0.35">
      <c r="B8" s="137"/>
      <c r="C8" s="137"/>
      <c r="D8" s="137"/>
      <c r="E8" s="137"/>
      <c r="F8" s="137"/>
      <c r="G8" s="137"/>
      <c r="H8" s="137"/>
      <c r="I8" s="137"/>
    </row>
    <row r="9" spans="2:9" ht="28.8" thickTop="1" thickBot="1" x14ac:dyDescent="0.35">
      <c r="B9" s="138" t="s">
        <v>1</v>
      </c>
      <c r="C9" s="139"/>
      <c r="D9" s="139"/>
      <c r="E9" s="139"/>
      <c r="F9" s="139"/>
      <c r="G9" s="139"/>
      <c r="H9" s="139"/>
      <c r="I9" s="140"/>
    </row>
    <row r="10" spans="2:9" ht="28.2" thickTop="1" x14ac:dyDescent="0.3">
      <c r="B10" s="34" t="s">
        <v>2</v>
      </c>
      <c r="C10" s="77" t="s">
        <v>170</v>
      </c>
      <c r="D10" s="73"/>
      <c r="E10" s="73"/>
      <c r="F10" s="74"/>
      <c r="G10" s="74"/>
      <c r="H10" s="35" t="s">
        <v>4</v>
      </c>
      <c r="I10" s="82">
        <v>0</v>
      </c>
    </row>
    <row r="11" spans="2:9" x14ac:dyDescent="0.3">
      <c r="B11" s="25" t="s">
        <v>54</v>
      </c>
      <c r="C11" s="78" t="s">
        <v>170</v>
      </c>
      <c r="D11" s="75"/>
      <c r="E11" s="75"/>
      <c r="F11" s="75"/>
      <c r="G11" s="75"/>
      <c r="H11" s="21" t="s">
        <v>11</v>
      </c>
      <c r="I11" s="83" t="s">
        <v>0</v>
      </c>
    </row>
    <row r="12" spans="2:9" x14ac:dyDescent="0.3">
      <c r="B12" s="25" t="s">
        <v>55</v>
      </c>
      <c r="C12" s="79" t="s">
        <v>170</v>
      </c>
      <c r="D12" s="75"/>
      <c r="E12" s="75"/>
      <c r="F12" s="75"/>
      <c r="G12" s="75"/>
      <c r="H12" s="21" t="s">
        <v>3</v>
      </c>
      <c r="I12" s="83" t="s">
        <v>129</v>
      </c>
    </row>
    <row r="13" spans="2:9" x14ac:dyDescent="0.3">
      <c r="B13" s="25" t="s">
        <v>56</v>
      </c>
      <c r="C13" s="79" t="s">
        <v>170</v>
      </c>
      <c r="D13" s="75"/>
      <c r="E13" s="75"/>
      <c r="F13" s="75"/>
      <c r="G13" s="75" t="s">
        <v>93</v>
      </c>
      <c r="H13" s="21" t="s">
        <v>76</v>
      </c>
      <c r="I13" s="83" t="s">
        <v>131</v>
      </c>
    </row>
    <row r="14" spans="2:9" x14ac:dyDescent="0.3">
      <c r="B14" s="25" t="s">
        <v>57</v>
      </c>
      <c r="C14" s="79" t="s">
        <v>170</v>
      </c>
      <c r="D14" s="75"/>
      <c r="E14" s="75"/>
      <c r="F14" s="75"/>
      <c r="G14" s="75"/>
      <c r="H14" s="21" t="s">
        <v>77</v>
      </c>
      <c r="I14" s="83" t="s">
        <v>59</v>
      </c>
    </row>
    <row r="15" spans="2:9" x14ac:dyDescent="0.3">
      <c r="B15" s="25" t="s">
        <v>75</v>
      </c>
      <c r="C15" s="80" t="s">
        <v>152</v>
      </c>
      <c r="D15" s="75"/>
      <c r="E15" s="75"/>
      <c r="F15" s="75">
        <f>IF(G15=4,1,IF(G15=5,2,IF(G15=6,3,IF(G15=7,4,IF(G15=8,5,IF(G15=9,6,IF(G15=10,7,IF(G15=11,8,IF(G15=12,9,IF(G15=1,10,IF(G15=2,11,IF(G15=3,12,13))))))))))))</f>
        <v>3</v>
      </c>
      <c r="G15" s="75">
        <f>IF(I15="बैशाख",1,IF(I15="जेठ",2,IF(I15="आषाढ",3,IF(I15="श्रावण",4,IF(I15="भाद्र",5,IF(I15="आश्विन",6,IF(I15="कार्तिक",7,IF(I15="मंसिर",8,IF(I15="पौष",9,IF(I15="माघ",10,IF(I15="फाल्गुन",11,IF(I15="चैत्र",12,6))))))))))))</f>
        <v>6</v>
      </c>
      <c r="H15" s="21" t="s">
        <v>60</v>
      </c>
      <c r="I15" s="83" t="s">
        <v>61</v>
      </c>
    </row>
    <row r="16" spans="2:9" ht="24.6" thickBot="1" x14ac:dyDescent="0.35">
      <c r="B16" s="26" t="s">
        <v>58</v>
      </c>
      <c r="C16" s="81" t="s">
        <v>82</v>
      </c>
      <c r="D16" s="76"/>
      <c r="E16" s="76"/>
      <c r="F16" s="76">
        <f>IF(G16=4,1,IF(G16=5,2,IF(G16=6,3,IF(G16=7,4,IF(G16=8,5,IF(G16=9,6,IF(G16=10,7,IF(G16=11,8,IF(G16=12,9,IF(G16=1,10,IF(G16=2,11,IF(G16=3,12,13))))))))))))</f>
        <v>9</v>
      </c>
      <c r="G16" s="76">
        <f>IF(I16="बैशाख",1,IF(I16="जेठ",2,IF(I16="आषाढ",3,IF(I16="श्रावण",4,IF(I16="भाद्र",5,IF(I16="आश्विन",6,IF(I16="कार्तिक",7,IF(I16="मंसिर",8,IF(I16="पौष",9,IF(I16="माघ",10,IF(I16="फाल्गुन",11,IF(I16="चैत्र",12,6))))))))))))</f>
        <v>12</v>
      </c>
      <c r="H16" s="27" t="s">
        <v>62</v>
      </c>
      <c r="I16" s="84" t="s">
        <v>63</v>
      </c>
    </row>
    <row r="17" spans="2:9" ht="12" customHeight="1" thickTop="1" thickBot="1" x14ac:dyDescent="0.35"/>
    <row r="18" spans="2:9" ht="28.8" thickTop="1" thickBot="1" x14ac:dyDescent="0.35">
      <c r="B18" s="138" t="s">
        <v>19</v>
      </c>
      <c r="C18" s="139"/>
      <c r="D18" s="139"/>
      <c r="E18" s="139"/>
      <c r="F18" s="139"/>
      <c r="G18" s="139"/>
      <c r="H18" s="139"/>
      <c r="I18" s="140"/>
    </row>
    <row r="19" spans="2:9" s="2" customFormat="1" ht="24.6" thickTop="1" x14ac:dyDescent="0.3">
      <c r="B19" s="36" t="s">
        <v>5</v>
      </c>
      <c r="C19" s="36" t="s">
        <v>6</v>
      </c>
      <c r="D19" s="179" t="s">
        <v>95</v>
      </c>
      <c r="E19" s="180"/>
      <c r="F19" s="37" t="s">
        <v>7</v>
      </c>
      <c r="G19" s="36" t="s">
        <v>8</v>
      </c>
      <c r="H19" s="36" t="s">
        <v>9</v>
      </c>
      <c r="I19" s="36" t="s">
        <v>10</v>
      </c>
    </row>
    <row r="20" spans="2:9" x14ac:dyDescent="0.3">
      <c r="B20" s="4">
        <v>1</v>
      </c>
      <c r="C20" s="5" t="s">
        <v>90</v>
      </c>
      <c r="D20" s="183" t="str">
        <f>"(" &amp; C11 &amp; " पदको)"</f>
        <v>(sample पदको)</v>
      </c>
      <c r="E20" s="183"/>
      <c r="F20" s="85">
        <f>43689*1.1</f>
        <v>48057.9</v>
      </c>
      <c r="G20" s="7">
        <v>12</v>
      </c>
      <c r="H20" s="8">
        <f>F20*G20</f>
        <v>576694.80000000005</v>
      </c>
      <c r="I20" s="4"/>
    </row>
    <row r="21" spans="2:9" x14ac:dyDescent="0.3">
      <c r="B21" s="171">
        <v>2</v>
      </c>
      <c r="C21" s="169" t="s">
        <v>88</v>
      </c>
      <c r="D21" s="42" t="s">
        <v>64</v>
      </c>
      <c r="E21" s="42" t="s">
        <v>7</v>
      </c>
      <c r="F21" s="181">
        <f>D22*E22</f>
        <v>12815.44</v>
      </c>
      <c r="G21" s="171">
        <f>IF(G16&lt;4,G16+8,G16-4)</f>
        <v>8</v>
      </c>
      <c r="H21" s="182">
        <f>F21*G21</f>
        <v>102523.52</v>
      </c>
      <c r="I21" s="4" t="s">
        <v>96</v>
      </c>
    </row>
    <row r="22" spans="2:9" x14ac:dyDescent="0.3">
      <c r="B22" s="171"/>
      <c r="C22" s="169"/>
      <c r="D22" s="87">
        <v>8</v>
      </c>
      <c r="E22" s="85">
        <f>F20/30</f>
        <v>1601.93</v>
      </c>
      <c r="F22" s="181"/>
      <c r="G22" s="171"/>
      <c r="H22" s="182"/>
      <c r="I22" s="86" t="s">
        <v>97</v>
      </c>
    </row>
    <row r="23" spans="2:9" x14ac:dyDescent="0.3">
      <c r="B23" s="171"/>
      <c r="C23" s="41" t="s">
        <v>89</v>
      </c>
      <c r="D23" s="44">
        <f>IF(I22="अन्तिम ग्रेड होइन",D22+1,D22)</f>
        <v>8</v>
      </c>
      <c r="E23" s="6">
        <f>E22</f>
        <v>1601.93</v>
      </c>
      <c r="F23" s="6">
        <f>E23*D23</f>
        <v>12815.44</v>
      </c>
      <c r="G23" s="4">
        <f>12-G21</f>
        <v>4</v>
      </c>
      <c r="H23" s="8">
        <f t="shared" ref="H23" si="0">F23*G23</f>
        <v>51261.760000000002</v>
      </c>
      <c r="I23" s="4"/>
    </row>
    <row r="24" spans="2:9" x14ac:dyDescent="0.3">
      <c r="B24" s="171"/>
      <c r="C24" s="41" t="s">
        <v>65</v>
      </c>
      <c r="D24" s="87">
        <v>0</v>
      </c>
      <c r="E24" s="46">
        <f>IF(D24&gt;0,E22,0)</f>
        <v>0</v>
      </c>
      <c r="F24" s="6">
        <f>D24*E24</f>
        <v>0</v>
      </c>
      <c r="G24" s="4">
        <v>12</v>
      </c>
      <c r="H24" s="8">
        <f>F24*G24</f>
        <v>0</v>
      </c>
      <c r="I24" s="4"/>
    </row>
    <row r="25" spans="2:9" x14ac:dyDescent="0.3">
      <c r="B25" s="170">
        <v>3</v>
      </c>
      <c r="C25" s="169" t="s">
        <v>16</v>
      </c>
      <c r="D25" s="4" t="s">
        <v>12</v>
      </c>
      <c r="E25" s="4" t="s">
        <v>13</v>
      </c>
      <c r="F25" s="181">
        <f>D26+E26</f>
        <v>60873.340000000004</v>
      </c>
      <c r="G25" s="171">
        <v>1</v>
      </c>
      <c r="H25" s="182">
        <f>F25*G25</f>
        <v>60873.340000000004</v>
      </c>
      <c r="I25" s="171"/>
    </row>
    <row r="26" spans="2:9" x14ac:dyDescent="0.3">
      <c r="B26" s="171"/>
      <c r="C26" s="169"/>
      <c r="D26" s="8">
        <f>F20</f>
        <v>48057.9</v>
      </c>
      <c r="E26" s="8">
        <f>IF(F15&gt;=F16,F23,F21)+F24</f>
        <v>12815.44</v>
      </c>
      <c r="F26" s="181"/>
      <c r="G26" s="171"/>
      <c r="H26" s="182"/>
      <c r="I26" s="171"/>
    </row>
    <row r="27" spans="2:9" x14ac:dyDescent="0.3">
      <c r="B27" s="7">
        <v>4</v>
      </c>
      <c r="C27" s="5" t="s">
        <v>14</v>
      </c>
      <c r="D27" s="184" t="s">
        <v>102</v>
      </c>
      <c r="E27" s="185"/>
      <c r="F27" s="6">
        <v>400</v>
      </c>
      <c r="G27" s="4">
        <v>12</v>
      </c>
      <c r="H27" s="8">
        <f>F27*G27</f>
        <v>4800</v>
      </c>
      <c r="I27" s="4"/>
    </row>
    <row r="28" spans="2:9" x14ac:dyDescent="0.3">
      <c r="B28" s="7">
        <v>5</v>
      </c>
      <c r="C28" s="5" t="s">
        <v>83</v>
      </c>
      <c r="D28" s="186" t="s">
        <v>103</v>
      </c>
      <c r="E28" s="187"/>
      <c r="F28" s="85">
        <f>F20*10%</f>
        <v>4805.79</v>
      </c>
      <c r="G28" s="87">
        <v>12</v>
      </c>
      <c r="H28" s="8">
        <f>F28*G28</f>
        <v>57669.479999999996</v>
      </c>
      <c r="I28" s="19"/>
    </row>
    <row r="29" spans="2:9" x14ac:dyDescent="0.3">
      <c r="B29" s="7">
        <v>6</v>
      </c>
      <c r="C29" s="5" t="s">
        <v>15</v>
      </c>
      <c r="D29" s="5"/>
      <c r="E29" s="5"/>
      <c r="F29" s="6">
        <v>5000</v>
      </c>
      <c r="G29" s="4">
        <v>12</v>
      </c>
      <c r="H29" s="8">
        <f t="shared" ref="H29:H46" si="1">F29*G29</f>
        <v>60000</v>
      </c>
      <c r="I29" s="4"/>
    </row>
    <row r="30" spans="2:9" x14ac:dyDescent="0.3">
      <c r="B30" s="7">
        <v>7</v>
      </c>
      <c r="C30" s="5" t="s">
        <v>17</v>
      </c>
      <c r="D30" s="38" t="s">
        <v>84</v>
      </c>
      <c r="E30" s="86" t="s">
        <v>85</v>
      </c>
      <c r="F30" s="40">
        <f>IF(E30="हिमाली",15000,10000)</f>
        <v>10000</v>
      </c>
      <c r="G30" s="4">
        <v>1</v>
      </c>
      <c r="H30" s="8">
        <f t="shared" si="1"/>
        <v>10000</v>
      </c>
      <c r="I30" s="4" t="s">
        <v>100</v>
      </c>
    </row>
    <row r="31" spans="2:9" x14ac:dyDescent="0.3">
      <c r="B31" s="7">
        <v>8</v>
      </c>
      <c r="C31" s="5" t="s">
        <v>20</v>
      </c>
      <c r="D31" s="88"/>
      <c r="E31" s="88"/>
      <c r="F31" s="85">
        <v>0</v>
      </c>
      <c r="G31" s="87">
        <v>12</v>
      </c>
      <c r="H31" s="8">
        <f>F31*G31</f>
        <v>0</v>
      </c>
      <c r="I31" s="4"/>
    </row>
    <row r="32" spans="2:9" x14ac:dyDescent="0.3">
      <c r="B32" s="7">
        <v>9</v>
      </c>
      <c r="C32" s="5" t="s">
        <v>86</v>
      </c>
      <c r="D32" s="88"/>
      <c r="E32" s="88"/>
      <c r="F32" s="85">
        <v>0</v>
      </c>
      <c r="G32" s="87">
        <v>1</v>
      </c>
      <c r="H32" s="8">
        <f t="shared" si="1"/>
        <v>0</v>
      </c>
      <c r="I32" s="4"/>
    </row>
    <row r="33" spans="2:11" x14ac:dyDescent="0.3">
      <c r="B33" s="7">
        <v>10</v>
      </c>
      <c r="C33" s="191" t="s">
        <v>140</v>
      </c>
      <c r="D33" s="192"/>
      <c r="E33" s="193"/>
      <c r="F33" s="85">
        <v>0</v>
      </c>
      <c r="G33" s="87">
        <v>1</v>
      </c>
      <c r="H33" s="8">
        <f t="shared" si="1"/>
        <v>0</v>
      </c>
      <c r="I33" s="16"/>
    </row>
    <row r="34" spans="2:11" x14ac:dyDescent="0.3">
      <c r="B34" s="7">
        <v>11</v>
      </c>
      <c r="C34" s="188" t="s">
        <v>143</v>
      </c>
      <c r="D34" s="189"/>
      <c r="E34" s="190"/>
      <c r="F34" s="85">
        <v>0</v>
      </c>
      <c r="G34" s="87">
        <v>1</v>
      </c>
      <c r="H34" s="8">
        <f t="shared" si="1"/>
        <v>0</v>
      </c>
      <c r="I34" s="16"/>
    </row>
    <row r="35" spans="2:11" x14ac:dyDescent="0.3">
      <c r="B35" s="7">
        <v>12</v>
      </c>
      <c r="C35" s="191" t="s">
        <v>106</v>
      </c>
      <c r="D35" s="192"/>
      <c r="E35" s="193"/>
      <c r="F35" s="85">
        <v>0</v>
      </c>
      <c r="G35" s="87">
        <v>1</v>
      </c>
      <c r="H35" s="8">
        <f t="shared" si="1"/>
        <v>0</v>
      </c>
      <c r="I35" s="4"/>
    </row>
    <row r="36" spans="2:11" x14ac:dyDescent="0.3">
      <c r="B36" s="151">
        <v>13</v>
      </c>
      <c r="C36" s="103" t="s">
        <v>136</v>
      </c>
      <c r="D36" s="104">
        <f>IF(G36&gt;0,2%,0)</f>
        <v>0</v>
      </c>
      <c r="E36" s="58">
        <f>IF(G36&lt;1,0,(F20+F21+F24)*12)</f>
        <v>0</v>
      </c>
      <c r="F36" s="92">
        <f t="shared" ref="F36:F37" si="2">D36*E36</f>
        <v>0</v>
      </c>
      <c r="G36" s="89">
        <v>0</v>
      </c>
      <c r="H36" s="8">
        <f t="shared" si="1"/>
        <v>0</v>
      </c>
      <c r="I36" s="157" t="s">
        <v>138</v>
      </c>
    </row>
    <row r="37" spans="2:11" x14ac:dyDescent="0.3">
      <c r="B37" s="153"/>
      <c r="C37" s="103" t="s">
        <v>137</v>
      </c>
      <c r="D37" s="104">
        <f>IF(G37&gt;0,2%,0)</f>
        <v>0</v>
      </c>
      <c r="E37" s="58">
        <f>IF(G37&lt;1,0,(F20+F23+F24)*12)</f>
        <v>0</v>
      </c>
      <c r="F37" s="92">
        <f t="shared" si="2"/>
        <v>0</v>
      </c>
      <c r="G37" s="89">
        <v>0</v>
      </c>
      <c r="H37" s="8">
        <f t="shared" si="1"/>
        <v>0</v>
      </c>
      <c r="I37" s="159"/>
    </row>
    <row r="38" spans="2:11" ht="46.2" customHeight="1" x14ac:dyDescent="0.3">
      <c r="B38" s="151">
        <v>14</v>
      </c>
      <c r="C38" s="103" t="s">
        <v>134</v>
      </c>
      <c r="D38" s="104">
        <f>IF(G38&gt;0,0.5%,0)</f>
        <v>0</v>
      </c>
      <c r="E38" s="58">
        <f>IF(G38&lt;1,0,(F20+F21+F24)*12)</f>
        <v>0</v>
      </c>
      <c r="F38" s="92">
        <f>D38*E38</f>
        <v>0</v>
      </c>
      <c r="G38" s="89">
        <v>0</v>
      </c>
      <c r="H38" s="8">
        <f t="shared" si="1"/>
        <v>0</v>
      </c>
      <c r="I38" s="157" t="s">
        <v>150</v>
      </c>
      <c r="K38" s="99"/>
    </row>
    <row r="39" spans="2:11" ht="46.2" customHeight="1" x14ac:dyDescent="0.3">
      <c r="B39" s="153"/>
      <c r="C39" s="103" t="s">
        <v>135</v>
      </c>
      <c r="D39" s="104">
        <f>IF(G39&gt;0,0.5%,0)</f>
        <v>0</v>
      </c>
      <c r="E39" s="58">
        <f>IF(G39&lt;1,0,(F20+F23+F24)*12)</f>
        <v>0</v>
      </c>
      <c r="F39" s="92">
        <f>D39*E39</f>
        <v>0</v>
      </c>
      <c r="G39" s="89">
        <v>0</v>
      </c>
      <c r="H39" s="8">
        <f t="shared" si="1"/>
        <v>0</v>
      </c>
      <c r="I39" s="159"/>
    </row>
    <row r="40" spans="2:11" x14ac:dyDescent="0.3">
      <c r="B40" s="7">
        <v>15</v>
      </c>
      <c r="C40" s="188" t="s">
        <v>145</v>
      </c>
      <c r="D40" s="189"/>
      <c r="E40" s="190"/>
      <c r="F40" s="85">
        <f t="shared" ref="F40" si="3">D40*E40</f>
        <v>0</v>
      </c>
      <c r="G40" s="87">
        <v>1</v>
      </c>
      <c r="H40" s="8">
        <f t="shared" si="1"/>
        <v>0</v>
      </c>
      <c r="I40" s="16" t="s">
        <v>144</v>
      </c>
    </row>
    <row r="41" spans="2:11" x14ac:dyDescent="0.3">
      <c r="B41" s="7">
        <v>16</v>
      </c>
      <c r="C41" s="88" t="s">
        <v>91</v>
      </c>
      <c r="D41" s="88"/>
      <c r="E41" s="88"/>
      <c r="F41" s="85">
        <v>0</v>
      </c>
      <c r="G41" s="87">
        <v>1</v>
      </c>
      <c r="H41" s="8">
        <f t="shared" si="1"/>
        <v>0</v>
      </c>
      <c r="I41" s="157" t="s">
        <v>87</v>
      </c>
    </row>
    <row r="42" spans="2:11" x14ac:dyDescent="0.3">
      <c r="B42" s="7">
        <v>17</v>
      </c>
      <c r="C42" s="88" t="s">
        <v>92</v>
      </c>
      <c r="D42" s="88"/>
      <c r="E42" s="88"/>
      <c r="F42" s="85">
        <v>0</v>
      </c>
      <c r="G42" s="87">
        <v>1</v>
      </c>
      <c r="H42" s="8">
        <f t="shared" si="1"/>
        <v>0</v>
      </c>
      <c r="I42" s="159"/>
    </row>
    <row r="43" spans="2:11" x14ac:dyDescent="0.3">
      <c r="B43" s="151">
        <v>18</v>
      </c>
      <c r="C43" s="172" t="s">
        <v>104</v>
      </c>
      <c r="D43" s="171" t="s">
        <v>99</v>
      </c>
      <c r="E43" s="171"/>
      <c r="F43" s="40">
        <f>(F20+F21+F24)*10%</f>
        <v>6087.3340000000007</v>
      </c>
      <c r="G43" s="44">
        <f>G21</f>
        <v>8</v>
      </c>
      <c r="H43" s="8">
        <f t="shared" si="1"/>
        <v>48698.672000000006</v>
      </c>
      <c r="I43" s="157" t="s">
        <v>139</v>
      </c>
    </row>
    <row r="44" spans="2:11" x14ac:dyDescent="0.3">
      <c r="B44" s="153"/>
      <c r="C44" s="173"/>
      <c r="D44" s="171" t="s">
        <v>98</v>
      </c>
      <c r="E44" s="171"/>
      <c r="F44" s="40">
        <f>(F20+F23+F24)*10%</f>
        <v>6087.3340000000007</v>
      </c>
      <c r="G44" s="44">
        <f>G23</f>
        <v>4</v>
      </c>
      <c r="H44" s="8">
        <f t="shared" si="1"/>
        <v>24349.336000000003</v>
      </c>
      <c r="I44" s="159"/>
    </row>
    <row r="45" spans="2:11" x14ac:dyDescent="0.3">
      <c r="B45" s="151">
        <v>19</v>
      </c>
      <c r="C45" s="172" t="s">
        <v>105</v>
      </c>
      <c r="D45" s="171" t="s">
        <v>99</v>
      </c>
      <c r="E45" s="171"/>
      <c r="F45" s="40">
        <f>IF(I13="हुने",((F20+F21+F24)*6%),0)</f>
        <v>0</v>
      </c>
      <c r="G45" s="44">
        <f>G21</f>
        <v>8</v>
      </c>
      <c r="H45" s="8">
        <f t="shared" si="1"/>
        <v>0</v>
      </c>
      <c r="I45" s="157" t="s">
        <v>67</v>
      </c>
    </row>
    <row r="46" spans="2:11" x14ac:dyDescent="0.3">
      <c r="B46" s="153"/>
      <c r="C46" s="173"/>
      <c r="D46" s="171" t="s">
        <v>98</v>
      </c>
      <c r="E46" s="171"/>
      <c r="F46" s="40">
        <f>IF(I13="हुने",((F20+F23+F24)*6%),0)</f>
        <v>0</v>
      </c>
      <c r="G46" s="44">
        <f>G23</f>
        <v>4</v>
      </c>
      <c r="H46" s="8">
        <f t="shared" si="1"/>
        <v>0</v>
      </c>
      <c r="I46" s="159"/>
    </row>
    <row r="47" spans="2:11" ht="26.4" thickBot="1" x14ac:dyDescent="0.35">
      <c r="B47" s="52">
        <v>20</v>
      </c>
      <c r="C47" s="144" t="s">
        <v>153</v>
      </c>
      <c r="D47" s="144"/>
      <c r="E47" s="144"/>
      <c r="F47" s="144"/>
      <c r="G47" s="144"/>
      <c r="H47" s="97">
        <f>SUM(H20:H46)</f>
        <v>996870.90800000005</v>
      </c>
      <c r="I47" s="54"/>
    </row>
    <row r="48" spans="2:11" ht="33.6" customHeight="1" thickTop="1" thickBot="1" x14ac:dyDescent="0.35">
      <c r="B48" s="138" t="s">
        <v>18</v>
      </c>
      <c r="C48" s="139"/>
      <c r="D48" s="139"/>
      <c r="E48" s="139"/>
      <c r="F48" s="139"/>
      <c r="G48" s="139"/>
      <c r="H48" s="139"/>
      <c r="I48" s="140"/>
    </row>
    <row r="49" spans="2:9" ht="24.6" thickTop="1" x14ac:dyDescent="0.3">
      <c r="B49" s="153">
        <f>B47+1</f>
        <v>21</v>
      </c>
      <c r="C49" s="173" t="s">
        <v>21</v>
      </c>
      <c r="D49" s="177" t="s">
        <v>99</v>
      </c>
      <c r="E49" s="178"/>
      <c r="F49" s="55">
        <f>F43*2</f>
        <v>12174.668000000001</v>
      </c>
      <c r="G49" s="47">
        <f>G21</f>
        <v>8</v>
      </c>
      <c r="H49" s="56">
        <f>F49*G49</f>
        <v>97397.344000000012</v>
      </c>
      <c r="I49" s="158" t="s">
        <v>27</v>
      </c>
    </row>
    <row r="50" spans="2:9" x14ac:dyDescent="0.3">
      <c r="B50" s="170"/>
      <c r="C50" s="169"/>
      <c r="D50" s="171" t="s">
        <v>98</v>
      </c>
      <c r="E50" s="171"/>
      <c r="F50" s="6">
        <f>F44*2</f>
        <v>12174.668000000001</v>
      </c>
      <c r="G50" s="7">
        <f>G23</f>
        <v>4</v>
      </c>
      <c r="H50" s="56">
        <f>F50*G50</f>
        <v>48698.672000000006</v>
      </c>
      <c r="I50" s="158"/>
    </row>
    <row r="51" spans="2:9" x14ac:dyDescent="0.3">
      <c r="B51" s="170">
        <f>B49+1</f>
        <v>22</v>
      </c>
      <c r="C51" s="169" t="s">
        <v>101</v>
      </c>
      <c r="D51" s="171" t="s">
        <v>99</v>
      </c>
      <c r="E51" s="171"/>
      <c r="F51" s="6">
        <f>F45*2</f>
        <v>0</v>
      </c>
      <c r="G51" s="7">
        <f>G21</f>
        <v>8</v>
      </c>
      <c r="H51" s="56">
        <f t="shared" ref="H51:H52" si="4">F51*G51</f>
        <v>0</v>
      </c>
      <c r="I51" s="158"/>
    </row>
    <row r="52" spans="2:9" x14ac:dyDescent="0.3">
      <c r="B52" s="170"/>
      <c r="C52" s="169"/>
      <c r="D52" s="171" t="s">
        <v>98</v>
      </c>
      <c r="E52" s="171"/>
      <c r="F52" s="6">
        <f>F46*2</f>
        <v>0</v>
      </c>
      <c r="G52" s="7">
        <f>G23</f>
        <v>4</v>
      </c>
      <c r="H52" s="56">
        <f t="shared" si="4"/>
        <v>0</v>
      </c>
      <c r="I52" s="158"/>
    </row>
    <row r="53" spans="2:9" x14ac:dyDescent="0.3">
      <c r="B53" s="7">
        <v>23</v>
      </c>
      <c r="C53" s="5" t="s">
        <v>22</v>
      </c>
      <c r="D53" s="88"/>
      <c r="E53" s="88"/>
      <c r="F53" s="85">
        <v>5000</v>
      </c>
      <c r="G53" s="89">
        <v>12</v>
      </c>
      <c r="H53" s="8">
        <f>F53*G53</f>
        <v>60000</v>
      </c>
      <c r="I53" s="158"/>
    </row>
    <row r="54" spans="2:9" x14ac:dyDescent="0.3">
      <c r="B54" s="7">
        <v>24</v>
      </c>
      <c r="C54" s="39" t="s">
        <v>23</v>
      </c>
      <c r="D54" s="9"/>
      <c r="E54" s="9"/>
      <c r="F54" s="10"/>
      <c r="G54" s="3"/>
      <c r="H54" s="11">
        <f>SUM(H49:H53)</f>
        <v>206096.016</v>
      </c>
      <c r="I54" s="158"/>
    </row>
    <row r="55" spans="2:9" x14ac:dyDescent="0.3">
      <c r="B55" s="7">
        <v>25</v>
      </c>
      <c r="C55" s="12" t="s">
        <v>25</v>
      </c>
      <c r="D55" s="12"/>
      <c r="E55" s="12"/>
      <c r="F55" s="10"/>
      <c r="G55" s="3"/>
      <c r="H55" s="11">
        <f>H47/3</f>
        <v>332290.30266666668</v>
      </c>
      <c r="I55" s="158"/>
    </row>
    <row r="56" spans="2:9" x14ac:dyDescent="0.3">
      <c r="B56" s="7">
        <v>26</v>
      </c>
      <c r="C56" s="12" t="s">
        <v>26</v>
      </c>
      <c r="D56" s="12"/>
      <c r="E56" s="12"/>
      <c r="F56" s="10"/>
      <c r="G56" s="3"/>
      <c r="H56" s="13">
        <v>500000</v>
      </c>
      <c r="I56" s="158"/>
    </row>
    <row r="57" spans="2:9" x14ac:dyDescent="0.3">
      <c r="B57" s="7">
        <v>27</v>
      </c>
      <c r="C57" s="12" t="s">
        <v>24</v>
      </c>
      <c r="D57" s="12"/>
      <c r="E57" s="12"/>
      <c r="F57" s="6"/>
      <c r="G57" s="4"/>
      <c r="H57" s="14">
        <f>MIN(H54,H55,H56)</f>
        <v>206096.016</v>
      </c>
      <c r="I57" s="159"/>
    </row>
    <row r="58" spans="2:9" ht="31.2" customHeight="1" x14ac:dyDescent="0.3">
      <c r="B58" s="48">
        <v>28</v>
      </c>
      <c r="C58" s="201" t="s">
        <v>168</v>
      </c>
      <c r="D58" s="202"/>
      <c r="E58" s="202"/>
      <c r="F58" s="202"/>
      <c r="G58" s="203"/>
      <c r="H58" s="60">
        <f>H47-H57</f>
        <v>790774.89199999999</v>
      </c>
      <c r="I58" s="112">
        <f>H58*5%</f>
        <v>39538.744600000005</v>
      </c>
    </row>
    <row r="59" spans="2:9" ht="51.6" customHeight="1" x14ac:dyDescent="0.3">
      <c r="B59" s="7">
        <v>29</v>
      </c>
      <c r="C59" s="174" t="s">
        <v>147</v>
      </c>
      <c r="D59" s="175"/>
      <c r="E59" s="176"/>
      <c r="F59" s="85">
        <v>0</v>
      </c>
      <c r="G59" s="44">
        <v>1</v>
      </c>
      <c r="H59" s="56">
        <f>IF(F59&gt;0,MIN((F59*G59),H58*5%),0)</f>
        <v>0</v>
      </c>
      <c r="I59" s="16" t="s">
        <v>146</v>
      </c>
    </row>
    <row r="60" spans="2:9" x14ac:dyDescent="0.3">
      <c r="B60" s="7">
        <v>30</v>
      </c>
      <c r="C60" s="195" t="s">
        <v>149</v>
      </c>
      <c r="D60" s="196"/>
      <c r="E60" s="197"/>
      <c r="F60" s="85">
        <v>0</v>
      </c>
      <c r="G60" s="44">
        <v>1</v>
      </c>
      <c r="H60" s="56">
        <f>IF(F60&gt;0,F60*G60,0)</f>
        <v>0</v>
      </c>
      <c r="I60" s="16" t="s">
        <v>148</v>
      </c>
    </row>
    <row r="61" spans="2:9" ht="46.8" customHeight="1" x14ac:dyDescent="0.3">
      <c r="B61" s="7">
        <v>31</v>
      </c>
      <c r="C61" s="174" t="s">
        <v>157</v>
      </c>
      <c r="D61" s="175"/>
      <c r="E61" s="176"/>
      <c r="F61" s="85">
        <v>0</v>
      </c>
      <c r="G61" s="87">
        <v>1</v>
      </c>
      <c r="H61" s="56">
        <f>IF(F61&gt;0,F61*G61,0)</f>
        <v>0</v>
      </c>
      <c r="I61" s="16" t="s">
        <v>156</v>
      </c>
    </row>
    <row r="62" spans="2:9" x14ac:dyDescent="0.3">
      <c r="B62" s="7">
        <v>32</v>
      </c>
      <c r="C62" s="194" t="s">
        <v>107</v>
      </c>
      <c r="D62" s="194"/>
      <c r="E62" s="194"/>
      <c r="F62" s="85">
        <v>0</v>
      </c>
      <c r="G62" s="87">
        <v>1</v>
      </c>
      <c r="H62" s="56">
        <f>IF(F62&gt;0,F62*G62,0)</f>
        <v>0</v>
      </c>
      <c r="I62" s="57"/>
    </row>
    <row r="63" spans="2:9" x14ac:dyDescent="0.3">
      <c r="B63" s="59">
        <v>33</v>
      </c>
      <c r="C63" s="206" t="s">
        <v>108</v>
      </c>
      <c r="D63" s="207"/>
      <c r="E63" s="207"/>
      <c r="F63" s="207"/>
      <c r="G63" s="208"/>
      <c r="H63" s="60">
        <f>SUM(H57:H62)-H58</f>
        <v>206096.01600000006</v>
      </c>
      <c r="I63" s="49"/>
    </row>
    <row r="64" spans="2:9" ht="26.4" thickBot="1" x14ac:dyDescent="0.35">
      <c r="B64" s="48">
        <v>34</v>
      </c>
      <c r="C64" s="141" t="s">
        <v>154</v>
      </c>
      <c r="D64" s="142"/>
      <c r="E64" s="142"/>
      <c r="F64" s="142"/>
      <c r="G64" s="143"/>
      <c r="H64" s="96">
        <f>H47-H63</f>
        <v>790774.89199999999</v>
      </c>
      <c r="I64" s="49" t="s">
        <v>109</v>
      </c>
    </row>
    <row r="65" spans="1:9" ht="33.6" customHeight="1" thickTop="1" thickBot="1" x14ac:dyDescent="0.35">
      <c r="B65" s="138" t="s">
        <v>29</v>
      </c>
      <c r="C65" s="139"/>
      <c r="D65" s="139"/>
      <c r="E65" s="139"/>
      <c r="F65" s="139"/>
      <c r="G65" s="139"/>
      <c r="H65" s="139"/>
      <c r="I65" s="140"/>
    </row>
    <row r="66" spans="1:9" ht="96.6" thickTop="1" x14ac:dyDescent="0.3">
      <c r="B66" s="7">
        <f>B64+1</f>
        <v>35</v>
      </c>
      <c r="C66" s="5" t="s">
        <v>66</v>
      </c>
      <c r="D66" s="204" t="str">
        <f>"("  &amp; C11 &amp; " पदको - " &amp;  I14&amp; " वर्गको)"</f>
        <v>(sample पदको - अन्य वर्गको)</v>
      </c>
      <c r="E66" s="205"/>
      <c r="F66" s="40">
        <f>IF(I14="क",MIN(50000,H31),IF(I14="ख",MIN(40000,H31),IF(I14="ग",MIN(30000,H31),IF(I14="घ",MIN(20000,H31),IF(I14="ङ",MIN(10000,H31),0)))))</f>
        <v>0</v>
      </c>
      <c r="G66" s="44">
        <v>1</v>
      </c>
      <c r="H66" s="58">
        <f>F66*G66</f>
        <v>0</v>
      </c>
      <c r="I66" s="16" t="s">
        <v>28</v>
      </c>
    </row>
    <row r="67" spans="1:9" x14ac:dyDescent="0.3">
      <c r="B67" s="151">
        <v>36</v>
      </c>
      <c r="C67" s="65" t="s">
        <v>115</v>
      </c>
      <c r="D67" s="61" t="s">
        <v>110</v>
      </c>
      <c r="E67" s="61" t="s">
        <v>7</v>
      </c>
      <c r="F67" s="40" t="s">
        <v>111</v>
      </c>
      <c r="G67" s="160">
        <v>1</v>
      </c>
      <c r="H67" s="154">
        <f>MIN(40000,SUM(F68:F69))</f>
        <v>40000</v>
      </c>
      <c r="I67" s="157" t="s">
        <v>112</v>
      </c>
    </row>
    <row r="68" spans="1:9" x14ac:dyDescent="0.3">
      <c r="B68" s="152"/>
      <c r="C68" s="64" t="s">
        <v>113</v>
      </c>
      <c r="D68" s="89">
        <v>12</v>
      </c>
      <c r="E68" s="40">
        <v>800</v>
      </c>
      <c r="F68" s="40">
        <f t="shared" ref="F68:F74" si="5">D68*E68</f>
        <v>9600</v>
      </c>
      <c r="G68" s="161"/>
      <c r="H68" s="155"/>
      <c r="I68" s="158"/>
    </row>
    <row r="69" spans="1:9" x14ac:dyDescent="0.3">
      <c r="B69" s="153"/>
      <c r="C69" s="5" t="s">
        <v>114</v>
      </c>
      <c r="D69" s="89">
        <v>1</v>
      </c>
      <c r="E69" s="85">
        <v>38030</v>
      </c>
      <c r="F69" s="40">
        <f t="shared" si="5"/>
        <v>38030</v>
      </c>
      <c r="G69" s="162"/>
      <c r="H69" s="156"/>
      <c r="I69" s="159"/>
    </row>
    <row r="70" spans="1:9" ht="31.8" customHeight="1" x14ac:dyDescent="0.3">
      <c r="B70" s="47">
        <v>37</v>
      </c>
      <c r="C70" s="5" t="s">
        <v>116</v>
      </c>
      <c r="D70" s="89">
        <v>1</v>
      </c>
      <c r="E70" s="85">
        <v>0</v>
      </c>
      <c r="F70" s="40">
        <f t="shared" si="5"/>
        <v>0</v>
      </c>
      <c r="G70" s="4">
        <v>1</v>
      </c>
      <c r="H70" s="45">
        <f>MIN(F70,20000)</f>
        <v>0</v>
      </c>
      <c r="I70" s="43" t="s">
        <v>68</v>
      </c>
    </row>
    <row r="71" spans="1:9" ht="48" x14ac:dyDescent="0.3">
      <c r="B71" s="47">
        <v>38</v>
      </c>
      <c r="C71" s="66" t="s">
        <v>117</v>
      </c>
      <c r="D71" s="89">
        <v>1</v>
      </c>
      <c r="E71" s="85">
        <v>4048.02</v>
      </c>
      <c r="F71" s="40">
        <f t="shared" si="5"/>
        <v>4048.02</v>
      </c>
      <c r="G71" s="4">
        <v>1</v>
      </c>
      <c r="H71" s="19">
        <f>MIN(F71,10000)</f>
        <v>4048.02</v>
      </c>
      <c r="I71" s="16" t="s">
        <v>118</v>
      </c>
    </row>
    <row r="72" spans="1:9" ht="48" x14ac:dyDescent="0.3">
      <c r="B72" s="47">
        <v>39</v>
      </c>
      <c r="C72" s="66" t="s">
        <v>69</v>
      </c>
      <c r="D72" s="67">
        <f>IF(E72&gt;0,0.75,0)</f>
        <v>0</v>
      </c>
      <c r="E72" s="85">
        <v>0</v>
      </c>
      <c r="F72" s="40">
        <f t="shared" si="5"/>
        <v>0</v>
      </c>
      <c r="G72" s="4">
        <v>1</v>
      </c>
      <c r="H72" s="19">
        <f>F72*G72</f>
        <v>0</v>
      </c>
      <c r="I72" s="43" t="s">
        <v>70</v>
      </c>
    </row>
    <row r="73" spans="1:9" x14ac:dyDescent="0.3">
      <c r="B73" s="47">
        <v>40</v>
      </c>
      <c r="C73" s="5" t="s">
        <v>71</v>
      </c>
      <c r="D73" s="67">
        <f>IF(C16="छ",0.5,0)</f>
        <v>0</v>
      </c>
      <c r="E73" s="92">
        <f>IF(C16="छ",1000000,0)</f>
        <v>0</v>
      </c>
      <c r="F73" s="40">
        <f t="shared" si="5"/>
        <v>0</v>
      </c>
      <c r="G73" s="4">
        <v>1</v>
      </c>
      <c r="H73" s="19">
        <f t="shared" ref="H73:H75" si="6">F73*G73</f>
        <v>0</v>
      </c>
      <c r="I73" s="16" t="str">
        <f>IF(C16="छ","थ्रेसहोल्ड रु. " &amp; 1000000 &amp; " को ५०% ","")</f>
        <v/>
      </c>
    </row>
    <row r="74" spans="1:9" ht="48" x14ac:dyDescent="0.3">
      <c r="B74" s="47">
        <v>41</v>
      </c>
      <c r="C74" s="66" t="s">
        <v>164</v>
      </c>
      <c r="D74" s="67">
        <f>IF(E74&gt;0,0.25,0)</f>
        <v>0.25</v>
      </c>
      <c r="E74" s="85">
        <v>90000</v>
      </c>
      <c r="F74" s="40">
        <f t="shared" si="5"/>
        <v>22500</v>
      </c>
      <c r="G74" s="4">
        <v>1</v>
      </c>
      <c r="H74" s="19">
        <f t="shared" si="6"/>
        <v>22500</v>
      </c>
      <c r="I74" s="16" t="s">
        <v>141</v>
      </c>
    </row>
    <row r="75" spans="1:9" x14ac:dyDescent="0.3">
      <c r="B75" s="47">
        <v>42</v>
      </c>
      <c r="C75" s="163" t="s">
        <v>119</v>
      </c>
      <c r="D75" s="164"/>
      <c r="E75" s="165"/>
      <c r="F75" s="85">
        <v>0</v>
      </c>
      <c r="G75" s="89">
        <v>1</v>
      </c>
      <c r="H75" s="19">
        <f t="shared" si="6"/>
        <v>0</v>
      </c>
      <c r="I75" s="16" t="s">
        <v>142</v>
      </c>
    </row>
    <row r="76" spans="1:9" x14ac:dyDescent="0.3">
      <c r="A76" s="62"/>
      <c r="B76" s="48">
        <v>43</v>
      </c>
      <c r="C76" s="148" t="s">
        <v>30</v>
      </c>
      <c r="D76" s="149"/>
      <c r="E76" s="149"/>
      <c r="F76" s="149"/>
      <c r="G76" s="150"/>
      <c r="H76" s="63">
        <f>SUM(H66:H75)</f>
        <v>66548.01999999999</v>
      </c>
      <c r="I76" s="49"/>
    </row>
    <row r="77" spans="1:9" ht="26.4" thickBot="1" x14ac:dyDescent="0.35">
      <c r="B77" s="48">
        <v>44</v>
      </c>
      <c r="C77" s="141" t="s">
        <v>155</v>
      </c>
      <c r="D77" s="142"/>
      <c r="E77" s="142"/>
      <c r="F77" s="142"/>
      <c r="G77" s="143"/>
      <c r="H77" s="96">
        <f>IF(I11="गैरबासिन्दा",0,IF(H64-H76&gt;0,H64-H76,0))</f>
        <v>724226.87199999997</v>
      </c>
      <c r="I77" s="49" t="s">
        <v>120</v>
      </c>
    </row>
    <row r="78" spans="1:9" ht="28.8" thickTop="1" thickBot="1" x14ac:dyDescent="0.35">
      <c r="B78" s="138" t="s">
        <v>31</v>
      </c>
      <c r="C78" s="139"/>
      <c r="D78" s="139"/>
      <c r="E78" s="139"/>
      <c r="F78" s="139"/>
      <c r="G78" s="139"/>
      <c r="H78" s="139"/>
      <c r="I78" s="140"/>
    </row>
    <row r="79" spans="1:9" ht="32.4" customHeight="1" thickTop="1" x14ac:dyDescent="0.3">
      <c r="B79" s="18" t="s">
        <v>39</v>
      </c>
      <c r="C79" s="3" t="s">
        <v>33</v>
      </c>
      <c r="D79" s="3" t="s">
        <v>6</v>
      </c>
      <c r="E79" s="3" t="s">
        <v>95</v>
      </c>
      <c r="F79" s="3" t="s">
        <v>32</v>
      </c>
      <c r="G79" s="3" t="s">
        <v>44</v>
      </c>
      <c r="H79" s="3" t="s">
        <v>45</v>
      </c>
      <c r="I79" s="3" t="s">
        <v>43</v>
      </c>
    </row>
    <row r="80" spans="1:9" ht="32.4" customHeight="1" x14ac:dyDescent="0.3">
      <c r="B80" s="7" t="s">
        <v>34</v>
      </c>
      <c r="C80" s="4" t="str">
        <f>I12 &amp; " छुट सीमाः १० लाख"</f>
        <v>व्यक्तिगत/एकल छुट सीमाः १० लाख</v>
      </c>
      <c r="D80" s="7" t="s">
        <v>121</v>
      </c>
      <c r="E80" s="17">
        <v>1000000</v>
      </c>
      <c r="F80" s="17" t="s">
        <v>40</v>
      </c>
      <c r="G80" s="17">
        <f>IF(H77&gt;E80,E80,H77)</f>
        <v>724226.87199999997</v>
      </c>
      <c r="H80" s="6">
        <f>IF(I13="हुने",0,G80*1%)</f>
        <v>7242.26872</v>
      </c>
      <c r="I80" s="17">
        <f>H77-G80</f>
        <v>0</v>
      </c>
    </row>
    <row r="81" spans="2:9" ht="32.4" customHeight="1" x14ac:dyDescent="0.3">
      <c r="B81" s="7" t="s">
        <v>35</v>
      </c>
      <c r="C81" s="4" t="s">
        <v>124</v>
      </c>
      <c r="D81" s="4" t="s">
        <v>33</v>
      </c>
      <c r="E81" s="17">
        <v>500000</v>
      </c>
      <c r="F81" s="17" t="s">
        <v>41</v>
      </c>
      <c r="G81" s="17">
        <f>IF(I80&gt;E81,E81,I80)</f>
        <v>0</v>
      </c>
      <c r="H81" s="6">
        <f>G81*10%</f>
        <v>0</v>
      </c>
      <c r="I81" s="17">
        <f>I80-G81</f>
        <v>0</v>
      </c>
    </row>
    <row r="82" spans="2:9" ht="32.4" customHeight="1" x14ac:dyDescent="0.3">
      <c r="B82" s="7" t="s">
        <v>36</v>
      </c>
      <c r="C82" s="4" t="s">
        <v>125</v>
      </c>
      <c r="D82" s="4" t="s">
        <v>33</v>
      </c>
      <c r="E82" s="17">
        <v>1000000</v>
      </c>
      <c r="F82" s="17" t="s">
        <v>42</v>
      </c>
      <c r="G82" s="17">
        <f>IF(I81&gt;E82,E82,I81)</f>
        <v>0</v>
      </c>
      <c r="H82" s="6">
        <f>G82*20%</f>
        <v>0</v>
      </c>
      <c r="I82" s="17">
        <f>I81-G82</f>
        <v>0</v>
      </c>
    </row>
    <row r="83" spans="2:9" ht="32.4" customHeight="1" x14ac:dyDescent="0.3">
      <c r="B83" s="7" t="s">
        <v>37</v>
      </c>
      <c r="C83" s="4" t="s">
        <v>126</v>
      </c>
      <c r="D83" s="4" t="s">
        <v>33</v>
      </c>
      <c r="E83" s="17">
        <v>1500000</v>
      </c>
      <c r="F83" s="17" t="s">
        <v>122</v>
      </c>
      <c r="G83" s="17">
        <f>IF(I82&gt;E83,E83,I82)</f>
        <v>0</v>
      </c>
      <c r="H83" s="6">
        <f>G83*27%</f>
        <v>0</v>
      </c>
      <c r="I83" s="17">
        <f>I82-G83</f>
        <v>0</v>
      </c>
    </row>
    <row r="84" spans="2:9" ht="32.4" customHeight="1" x14ac:dyDescent="0.3">
      <c r="B84" s="4" t="s">
        <v>38</v>
      </c>
      <c r="C84" s="4" t="s">
        <v>127</v>
      </c>
      <c r="D84" s="4" t="s">
        <v>33</v>
      </c>
      <c r="E84" s="17" t="s">
        <v>128</v>
      </c>
      <c r="F84" s="17" t="s">
        <v>123</v>
      </c>
      <c r="G84" s="17">
        <f>IF(I83&gt;0,I83,0)</f>
        <v>0</v>
      </c>
      <c r="H84" s="6">
        <f>G84*29%</f>
        <v>0</v>
      </c>
      <c r="I84" s="17">
        <f>I83-G84</f>
        <v>0</v>
      </c>
    </row>
    <row r="85" spans="2:9" ht="32.4" customHeight="1" thickBot="1" x14ac:dyDescent="0.35">
      <c r="B85" s="50">
        <v>45</v>
      </c>
      <c r="C85" s="141" t="s">
        <v>48</v>
      </c>
      <c r="D85" s="142"/>
      <c r="E85" s="142"/>
      <c r="F85" s="142"/>
      <c r="G85" s="143"/>
      <c r="H85" s="96">
        <f>IF(I11="गैरबासिन्दा",H47*25%,SUM(H80:H84))</f>
        <v>7242.26872</v>
      </c>
      <c r="I85" s="51">
        <v>0</v>
      </c>
    </row>
    <row r="86" spans="2:9" ht="32.4" customHeight="1" thickTop="1" thickBot="1" x14ac:dyDescent="0.35">
      <c r="B86" s="138" t="s">
        <v>46</v>
      </c>
      <c r="C86" s="139"/>
      <c r="D86" s="139"/>
      <c r="E86" s="139"/>
      <c r="F86" s="139"/>
      <c r="G86" s="139"/>
      <c r="H86" s="139"/>
      <c r="I86" s="140"/>
    </row>
    <row r="87" spans="2:9" ht="33" customHeight="1" thickTop="1" x14ac:dyDescent="0.3">
      <c r="B87" s="7">
        <v>46</v>
      </c>
      <c r="C87" s="163" t="str">
        <f>IF(C15="महिला", "पारिश्रमिक आय मात्र आर्जन गर्ने महिलालाई तिर्नुपर्ने करको १०% छुट", "विशेष छुट")</f>
        <v>विशेष छुट</v>
      </c>
      <c r="D87" s="164"/>
      <c r="E87" s="164"/>
      <c r="F87" s="164"/>
      <c r="G87" s="165"/>
      <c r="H87" s="8">
        <f>IF(I11="गैरबासिन्दा",0,IF(C15="महिला",H85*10%,0))</f>
        <v>0</v>
      </c>
      <c r="I87" s="4" t="str">
        <f>IF(C15="महिला", "", "नभएको")</f>
        <v>नभएको</v>
      </c>
    </row>
    <row r="88" spans="2:9" ht="33" customHeight="1" x14ac:dyDescent="0.3">
      <c r="B88" s="7">
        <v>47</v>
      </c>
      <c r="C88" s="166" t="s">
        <v>165</v>
      </c>
      <c r="D88" s="167"/>
      <c r="E88" s="167"/>
      <c r="F88" s="167"/>
      <c r="G88" s="168"/>
      <c r="H88" s="5"/>
      <c r="I88" s="157" t="s">
        <v>161</v>
      </c>
    </row>
    <row r="89" spans="2:9" ht="33" customHeight="1" x14ac:dyDescent="0.3">
      <c r="B89" s="7">
        <v>48</v>
      </c>
      <c r="C89" s="163" t="s">
        <v>166</v>
      </c>
      <c r="D89" s="164"/>
      <c r="E89" s="165"/>
      <c r="F89" s="85">
        <v>0</v>
      </c>
      <c r="G89" s="4"/>
      <c r="H89" s="5"/>
      <c r="I89" s="158"/>
    </row>
    <row r="90" spans="2:9" ht="33" customHeight="1" x14ac:dyDescent="0.3">
      <c r="B90" s="7">
        <v>49</v>
      </c>
      <c r="C90" s="163" t="s">
        <v>47</v>
      </c>
      <c r="D90" s="164"/>
      <c r="E90" s="164"/>
      <c r="F90" s="165"/>
      <c r="G90" s="19">
        <f>F89*15%</f>
        <v>0</v>
      </c>
      <c r="H90" s="5"/>
      <c r="I90" s="158"/>
    </row>
    <row r="91" spans="2:9" ht="33" customHeight="1" x14ac:dyDescent="0.3">
      <c r="B91" s="7">
        <v>50</v>
      </c>
      <c r="C91" s="163" t="s">
        <v>158</v>
      </c>
      <c r="D91" s="164"/>
      <c r="E91" s="164"/>
      <c r="F91" s="165"/>
      <c r="G91" s="106">
        <v>0</v>
      </c>
      <c r="H91" s="5"/>
      <c r="I91" s="158"/>
    </row>
    <row r="92" spans="2:9" ht="33" customHeight="1" x14ac:dyDescent="0.3">
      <c r="B92" s="7">
        <v>51</v>
      </c>
      <c r="C92" s="166" t="s">
        <v>159</v>
      </c>
      <c r="D92" s="167"/>
      <c r="E92" s="167"/>
      <c r="F92" s="168"/>
      <c r="G92" s="20">
        <f>G90+G91</f>
        <v>0</v>
      </c>
      <c r="H92" s="5"/>
      <c r="I92" s="158"/>
    </row>
    <row r="93" spans="2:9" ht="33" customHeight="1" x14ac:dyDescent="0.3">
      <c r="B93" s="7">
        <v>52</v>
      </c>
      <c r="C93" s="166" t="s">
        <v>26</v>
      </c>
      <c r="D93" s="167"/>
      <c r="E93" s="167"/>
      <c r="F93" s="168"/>
      <c r="G93" s="10">
        <f>IF(I11="गैरबासिन्दा",0,1500)</f>
        <v>1500</v>
      </c>
      <c r="H93" s="5"/>
      <c r="I93" s="158"/>
    </row>
    <row r="94" spans="2:9" ht="33" customHeight="1" x14ac:dyDescent="0.3">
      <c r="B94" s="7">
        <v>53</v>
      </c>
      <c r="C94" s="166" t="s">
        <v>160</v>
      </c>
      <c r="D94" s="167"/>
      <c r="E94" s="167"/>
      <c r="F94" s="167"/>
      <c r="G94" s="168"/>
      <c r="H94" s="8">
        <f>MIN(G92,G93)</f>
        <v>0</v>
      </c>
      <c r="I94" s="158"/>
    </row>
    <row r="95" spans="2:9" ht="33" customHeight="1" x14ac:dyDescent="0.3">
      <c r="B95" s="7">
        <v>54</v>
      </c>
      <c r="C95" s="169" t="s">
        <v>167</v>
      </c>
      <c r="D95" s="169"/>
      <c r="E95" s="169"/>
      <c r="F95" s="169"/>
      <c r="G95" s="105">
        <f>F89+G91-H94</f>
        <v>0</v>
      </c>
      <c r="H95" s="8"/>
      <c r="I95" s="159"/>
    </row>
    <row r="96" spans="2:9" ht="55.2" customHeight="1" x14ac:dyDescent="0.3">
      <c r="B96" s="7">
        <v>55</v>
      </c>
      <c r="C96" s="198" t="s">
        <v>163</v>
      </c>
      <c r="D96" s="199"/>
      <c r="E96" s="199"/>
      <c r="F96" s="199"/>
      <c r="G96" s="200"/>
      <c r="H96" s="107">
        <v>0</v>
      </c>
      <c r="I96" s="43" t="s">
        <v>162</v>
      </c>
    </row>
    <row r="97" spans="1:9" ht="33" customHeight="1" x14ac:dyDescent="0.3">
      <c r="B97" s="7">
        <v>56</v>
      </c>
      <c r="C97" s="166" t="s">
        <v>49</v>
      </c>
      <c r="D97" s="167"/>
      <c r="E97" s="167"/>
      <c r="F97" s="167"/>
      <c r="G97" s="168"/>
      <c r="H97" s="14">
        <f>SUM(H87:H96)</f>
        <v>0</v>
      </c>
      <c r="I97" s="4"/>
    </row>
    <row r="98" spans="1:9" ht="33" customHeight="1" thickBot="1" x14ac:dyDescent="0.35">
      <c r="B98" s="52">
        <v>57</v>
      </c>
      <c r="C98" s="145" t="s">
        <v>133</v>
      </c>
      <c r="D98" s="146"/>
      <c r="E98" s="146"/>
      <c r="F98" s="146"/>
      <c r="G98" s="147"/>
      <c r="H98" s="94">
        <f>H85-H97</f>
        <v>7242.26872</v>
      </c>
      <c r="I98" s="53"/>
    </row>
    <row r="99" spans="1:9" ht="28.8" customHeight="1" thickTop="1" thickBot="1" x14ac:dyDescent="0.35">
      <c r="B99" s="138" t="s">
        <v>50</v>
      </c>
      <c r="C99" s="139"/>
      <c r="D99" s="139"/>
      <c r="E99" s="139"/>
      <c r="F99" s="139"/>
      <c r="G99" s="139"/>
      <c r="H99" s="139"/>
      <c r="I99" s="140"/>
    </row>
    <row r="100" spans="1:9" ht="28.8" customHeight="1" thickTop="1" x14ac:dyDescent="0.3">
      <c r="B100" s="29">
        <v>58</v>
      </c>
      <c r="C100" s="93" t="s">
        <v>132</v>
      </c>
      <c r="D100" s="30"/>
      <c r="E100" s="31"/>
      <c r="F100" s="130" t="s">
        <v>78</v>
      </c>
      <c r="G100" s="130"/>
      <c r="H100" s="32"/>
      <c r="I100" s="100" t="s">
        <v>81</v>
      </c>
    </row>
    <row r="101" spans="1:9" ht="28.8" customHeight="1" x14ac:dyDescent="0.3">
      <c r="B101" s="28">
        <v>59</v>
      </c>
      <c r="C101" s="109" t="s">
        <v>79</v>
      </c>
      <c r="D101" s="108">
        <f>IF(I11="गैरबासिन्दा",0,IF(D102=0,0,IF(H102&gt;0,G80/12,H47/12)))</f>
        <v>83072.575666666671</v>
      </c>
      <c r="E101" s="72"/>
      <c r="F101" s="131" t="s">
        <v>79</v>
      </c>
      <c r="G101" s="131"/>
      <c r="H101" s="108">
        <f>IF(I11="गैरबासिन्दा",0,(H47-D101*12)/12)</f>
        <v>0</v>
      </c>
      <c r="I101" s="110">
        <f>IF(I11="गैरबासिन्दा",H47/12,H101+D101)</f>
        <v>83072.575666666671</v>
      </c>
    </row>
    <row r="102" spans="1:9" ht="28.8" customHeight="1" thickBot="1" x14ac:dyDescent="0.35">
      <c r="B102" s="98">
        <v>60</v>
      </c>
      <c r="C102" s="111" t="s">
        <v>80</v>
      </c>
      <c r="D102" s="95">
        <f>IF(I11="गैरबासिन्दा",0,IF(C15="महिला",IF(H98&lt;H80,H98/12,H80/12)*90%,IF(H98&lt;H80,H98/12,H80/12)))</f>
        <v>603.5223933333333</v>
      </c>
      <c r="E102" s="33"/>
      <c r="F102" s="132" t="s">
        <v>80</v>
      </c>
      <c r="G102" s="132"/>
      <c r="H102" s="95">
        <f>IF(I11="गैरबासिन्दा",0,IF(H98&gt;H80,((H98-D102*12)/12),0))</f>
        <v>0</v>
      </c>
      <c r="I102" s="101">
        <f>IF(I11="गैरबासिन्दा",(H47*25%)/12,H102+D102)</f>
        <v>603.5223933333333</v>
      </c>
    </row>
    <row r="103" spans="1:9" ht="8.4" customHeight="1" thickTop="1" x14ac:dyDescent="0.3">
      <c r="C103" s="22"/>
    </row>
    <row r="104" spans="1:9" ht="24" customHeight="1" thickBot="1" x14ac:dyDescent="0.35">
      <c r="B104" s="71" t="s">
        <v>72</v>
      </c>
      <c r="C104" s="22"/>
      <c r="G104" s="113"/>
      <c r="H104" s="91"/>
      <c r="I104" s="90"/>
    </row>
    <row r="105" spans="1:9" s="24" customFormat="1" ht="100.2" customHeight="1" thickTop="1" thickBot="1" x14ac:dyDescent="0.35">
      <c r="A105" s="69" t="s">
        <v>72</v>
      </c>
      <c r="B105" s="127" t="str">
        <f>TRIM(B106 &amp; " " &amp; B107 &amp; " " &amp; B108 &amp; " " &amp; B109 &amp; " " &amp; B110)</f>
        <v>आयकर ऐनको दफा ५१ र आयकर नियमावलीको नियम १७ को उपनियम (३) बमोजिम स्वीकृत औषधी उपचार खर्चबापत विल छ भने उक्त विल बमोजिमको वास्तविक खर्च रकमको १५% ‌+ जिम्मेवारी सरेको रकम वा १,५००/- रुपैंयामा जुन घटी हुन्छ उक्त रकम तिर्नुपर्ने करमा मिलान गर्न सकिने ।</v>
      </c>
      <c r="C105" s="128"/>
      <c r="D105" s="128"/>
      <c r="E105" s="128"/>
      <c r="F105" s="128"/>
      <c r="G105" s="128"/>
      <c r="H105" s="128"/>
      <c r="I105" s="129"/>
    </row>
    <row r="106" spans="1:9" s="24" customFormat="1" ht="24.6" hidden="1" thickTop="1" x14ac:dyDescent="0.3">
      <c r="A106" s="70">
        <v>1</v>
      </c>
      <c r="B106" s="121" t="str">
        <f>IF(B110&lt;&gt;"","",IF(C15="महिला","आयकर ऐनको अनुसूची १ को दफा १ को उपदफा ११ बमोजिम पारिश्रमिक आय मात्र आर्जन गर्ने महिलालाई तिर्नुपर्ने कर रकममा १० % छुट दिई कर गणना गरिएको ।",""))</f>
        <v/>
      </c>
      <c r="C106" s="122"/>
      <c r="D106" s="122"/>
      <c r="E106" s="122"/>
      <c r="F106" s="122"/>
      <c r="G106" s="122"/>
      <c r="H106" s="122"/>
      <c r="I106" s="123"/>
    </row>
    <row r="107" spans="1:9" s="24" customFormat="1" hidden="1" x14ac:dyDescent="0.3">
      <c r="A107" s="70">
        <v>2</v>
      </c>
      <c r="B107" s="121" t="str">
        <f>IF(B110&lt;&gt;"","",IF(I13="हुने","आयकर ऐनको अनुसूची १ को दफा १ को उपदफा-१ (क) को प्रतिवन्धात्मक वाक्याशंबमोजिम निवृत्तभरण कोषमा योगदान गर्ने प्राकृत्तिक व्यक्तिको आयमा सामाजिक सुरक्षा कर छुट दिई कर गणना गरिएको । ", ""))</f>
        <v/>
      </c>
      <c r="C107" s="122"/>
      <c r="D107" s="122"/>
      <c r="E107" s="122"/>
      <c r="F107" s="122"/>
      <c r="G107" s="122"/>
      <c r="H107" s="122"/>
      <c r="I107" s="123"/>
    </row>
    <row r="108" spans="1:9" s="24" customFormat="1" hidden="1" x14ac:dyDescent="0.3">
      <c r="A108" s="70">
        <v>3</v>
      </c>
      <c r="B108" s="121" t="str">
        <f>IF(B110&lt;&gt;"","",IF(C16="छ","आयकर ऐनको अनुसूची १ को दफा १ को उपदफा-१० बमोजिम अपाङ्ग प्राकृतिक व्यक्तिले करयोग्य आयबाट निजले छुट पाउने सीमामा थप ५०% थप गरी करयोग्य आय रकम घटाई कर गणना गरिएको ।",""))</f>
        <v/>
      </c>
      <c r="C108" s="122"/>
      <c r="D108" s="122"/>
      <c r="E108" s="122"/>
      <c r="F108" s="122"/>
      <c r="G108" s="122"/>
      <c r="H108" s="122"/>
      <c r="I108" s="123"/>
    </row>
    <row r="109" spans="1:9" s="24" customFormat="1" ht="51" hidden="1" customHeight="1" x14ac:dyDescent="0.3">
      <c r="A109" s="70">
        <v>4</v>
      </c>
      <c r="B109" s="124" t="str">
        <f>IF(B110="","आयकर ऐनको दफा ५१ र आयकर नियमावलीको नियम १७ को उपनियम (३) बमोजिम स्वीकृत औषधी उपचार खर्चबापत विल छ भने उक्त विल बमोजिमको वास्तविक खर्च रकमको १५% ‌+ जिम्मेवारी सरेको रकम वा १,५००/- रुपैंयामा जुन घटी हुन्छ उक्त रकम तिर्नुपर्ने करमा मिलान गर्न सकिने ।","")</f>
        <v>आयकर ऐनको दफा ५१ र आयकर नियमावलीको नियम १७ को उपनियम (३) बमोजिम स्वीकृत औषधी उपचार खर्चबापत विल छ भने उक्त विल बमोजिमको वास्तविक खर्च रकमको १५% ‌+ जिम्मेवारी सरेको रकम वा १,५००/- रुपैंयामा जुन घटी हुन्छ उक्त रकम तिर्नुपर्ने करमा मिलान गर्न सकिने ।</v>
      </c>
      <c r="C109" s="125"/>
      <c r="D109" s="125"/>
      <c r="E109" s="125"/>
      <c r="F109" s="125"/>
      <c r="G109" s="125"/>
      <c r="H109" s="125"/>
      <c r="I109" s="126"/>
    </row>
    <row r="110" spans="1:9" s="24" customFormat="1" ht="24.6" hidden="1" thickBot="1" x14ac:dyDescent="0.35">
      <c r="A110" s="70">
        <v>5</v>
      </c>
      <c r="B110" s="118" t="str">
        <f>IF(I11="गैरबासिन्दा","कर तिर्ने व्यक्ति गैर बासिन्दा व्यक्ति भएकोले निजको करयोग्य रोजगारी आयको २५% का दरले बार्षिक रु. " &amp; ROUNDUP(H47*25%,2) &amp; " तथा मासिक रु. " &amp; ROUNDUP((H47*25%)/12,2) &amp;" पारिश्रमिक कर गणना गरिएको । ","")</f>
        <v/>
      </c>
      <c r="C110" s="119"/>
      <c r="D110" s="119"/>
      <c r="E110" s="119"/>
      <c r="F110" s="119"/>
      <c r="G110" s="119"/>
      <c r="H110" s="119"/>
      <c r="I110" s="120"/>
    </row>
    <row r="111" spans="1:9" ht="10.8" customHeight="1" thickTop="1" x14ac:dyDescent="0.3"/>
    <row r="112" spans="1:9" ht="46.8" customHeight="1" x14ac:dyDescent="0.3">
      <c r="B112" s="114" t="s">
        <v>51</v>
      </c>
      <c r="C112" s="114"/>
      <c r="D112" s="114"/>
      <c r="E112" s="114"/>
      <c r="F112" s="114"/>
      <c r="G112" s="114"/>
      <c r="H112" s="114"/>
      <c r="I112" s="114"/>
    </row>
    <row r="113" spans="2:9" x14ac:dyDescent="0.3">
      <c r="D113" s="15"/>
      <c r="E113" s="2"/>
      <c r="H113" s="1" t="s">
        <v>52</v>
      </c>
    </row>
    <row r="114" spans="2:9" x14ac:dyDescent="0.3">
      <c r="D114" s="15"/>
      <c r="E114" s="2"/>
      <c r="H114" s="23" t="str">
        <f>"नामथर: " &amp; C10</f>
        <v>नामथर: sample</v>
      </c>
    </row>
    <row r="115" spans="2:9" x14ac:dyDescent="0.3">
      <c r="D115" s="15"/>
      <c r="E115" s="2"/>
      <c r="H115" s="1" t="str">
        <f>"पदः " &amp; C11</f>
        <v>पदः sample</v>
      </c>
    </row>
    <row r="116" spans="2:9" x14ac:dyDescent="0.3">
      <c r="D116" s="15"/>
      <c r="E116" s="2"/>
      <c r="H116" s="102" t="s">
        <v>151</v>
      </c>
    </row>
    <row r="117" spans="2:9" ht="9" customHeight="1" thickBot="1" x14ac:dyDescent="0.35">
      <c r="D117" s="15"/>
      <c r="E117" s="2"/>
    </row>
    <row r="118" spans="2:9" ht="24.6" thickBot="1" x14ac:dyDescent="0.35">
      <c r="B118" s="115" t="s">
        <v>130</v>
      </c>
      <c r="C118" s="116"/>
      <c r="D118" s="116"/>
      <c r="E118" s="116"/>
      <c r="F118" s="117" t="s">
        <v>73</v>
      </c>
      <c r="G118" s="117"/>
      <c r="H118" s="117"/>
      <c r="I118" s="68" t="s">
        <v>74</v>
      </c>
    </row>
    <row r="119" spans="2:9" ht="7.2" customHeight="1" x14ac:dyDescent="0.3"/>
  </sheetData>
  <sheetProtection algorithmName="SHA-512" hashValue="lVe9I0xAn3FEQLdFaTN9ujVJOV7a8oqxI6mSQUs00f/9uGd1eTeK/ZPKS6BzNqCtQ1x+pp31MBacu8xnfHxgIw==" saltValue="g5boW+xgIWcJMiF9Fe3wcw==" spinCount="100000" sheet="1" selectLockedCells="1"/>
  <mergeCells count="99">
    <mergeCell ref="I88:I95"/>
    <mergeCell ref="C96:G96"/>
    <mergeCell ref="C58:G58"/>
    <mergeCell ref="I38:I39"/>
    <mergeCell ref="C40:E40"/>
    <mergeCell ref="D66:E66"/>
    <mergeCell ref="C63:G63"/>
    <mergeCell ref="C87:G87"/>
    <mergeCell ref="C88:G88"/>
    <mergeCell ref="C91:F91"/>
    <mergeCell ref="C92:F92"/>
    <mergeCell ref="C95:F95"/>
    <mergeCell ref="B36:B37"/>
    <mergeCell ref="I36:I37"/>
    <mergeCell ref="I43:I44"/>
    <mergeCell ref="C61:E61"/>
    <mergeCell ref="C62:E62"/>
    <mergeCell ref="I45:I46"/>
    <mergeCell ref="D46:E46"/>
    <mergeCell ref="C60:E60"/>
    <mergeCell ref="B51:B52"/>
    <mergeCell ref="D51:E51"/>
    <mergeCell ref="D52:E52"/>
    <mergeCell ref="B38:B39"/>
    <mergeCell ref="I49:I57"/>
    <mergeCell ref="B49:B50"/>
    <mergeCell ref="C51:C52"/>
    <mergeCell ref="D27:E27"/>
    <mergeCell ref="D28:E28"/>
    <mergeCell ref="D43:E43"/>
    <mergeCell ref="D44:E44"/>
    <mergeCell ref="D45:E45"/>
    <mergeCell ref="C34:E34"/>
    <mergeCell ref="C33:E33"/>
    <mergeCell ref="C35:E35"/>
    <mergeCell ref="D19:E19"/>
    <mergeCell ref="F21:F22"/>
    <mergeCell ref="G21:G22"/>
    <mergeCell ref="H21:H22"/>
    <mergeCell ref="G25:G26"/>
    <mergeCell ref="H25:H26"/>
    <mergeCell ref="F25:F26"/>
    <mergeCell ref="D20:E20"/>
    <mergeCell ref="C21:C22"/>
    <mergeCell ref="C25:C26"/>
    <mergeCell ref="B25:B26"/>
    <mergeCell ref="B21:B24"/>
    <mergeCell ref="B86:I86"/>
    <mergeCell ref="C75:E75"/>
    <mergeCell ref="I41:I42"/>
    <mergeCell ref="I25:I26"/>
    <mergeCell ref="C43:C44"/>
    <mergeCell ref="C45:C46"/>
    <mergeCell ref="B43:B44"/>
    <mergeCell ref="B45:B46"/>
    <mergeCell ref="C59:E59"/>
    <mergeCell ref="D49:E49"/>
    <mergeCell ref="D50:E50"/>
    <mergeCell ref="C49:C50"/>
    <mergeCell ref="C98:G98"/>
    <mergeCell ref="B99:I99"/>
    <mergeCell ref="C64:G64"/>
    <mergeCell ref="B65:I65"/>
    <mergeCell ref="C76:G76"/>
    <mergeCell ref="C77:G77"/>
    <mergeCell ref="B78:I78"/>
    <mergeCell ref="B67:B69"/>
    <mergeCell ref="H67:H69"/>
    <mergeCell ref="I67:I69"/>
    <mergeCell ref="G67:G69"/>
    <mergeCell ref="C89:E89"/>
    <mergeCell ref="C90:F90"/>
    <mergeCell ref="C97:G97"/>
    <mergeCell ref="C94:G94"/>
    <mergeCell ref="C93:F93"/>
    <mergeCell ref="B105:I105"/>
    <mergeCell ref="F100:G100"/>
    <mergeCell ref="F101:G101"/>
    <mergeCell ref="F102:G102"/>
    <mergeCell ref="B2:I2"/>
    <mergeCell ref="B3:I3"/>
    <mergeCell ref="B4:I4"/>
    <mergeCell ref="B5:I5"/>
    <mergeCell ref="B6:I6"/>
    <mergeCell ref="B7:I7"/>
    <mergeCell ref="B8:I8"/>
    <mergeCell ref="B9:I9"/>
    <mergeCell ref="C85:G85"/>
    <mergeCell ref="B18:I18"/>
    <mergeCell ref="C47:G47"/>
    <mergeCell ref="B48:I48"/>
    <mergeCell ref="B112:I112"/>
    <mergeCell ref="B118:E118"/>
    <mergeCell ref="F118:H118"/>
    <mergeCell ref="B110:I110"/>
    <mergeCell ref="B106:I106"/>
    <mergeCell ref="B107:I107"/>
    <mergeCell ref="B108:I108"/>
    <mergeCell ref="B109:I109"/>
  </mergeCells>
  <dataValidations count="9">
    <dataValidation type="list" allowBlank="1" showInputMessage="1" showErrorMessage="1" sqref="C15">
      <formula1>"पुरुष, महिला"</formula1>
    </dataValidation>
    <dataValidation type="list" allowBlank="1" showInputMessage="1" showErrorMessage="1" sqref="C16">
      <formula1>"छैन, छ"</formula1>
    </dataValidation>
    <dataValidation type="list" allowBlank="1" showInputMessage="1" showErrorMessage="1" sqref="I11">
      <formula1>"बासिन्दा, गैरबासिन्दा"</formula1>
    </dataValidation>
    <dataValidation type="list" allowBlank="1" showInputMessage="1" showErrorMessage="1" sqref="I12">
      <formula1>"व्यक्तिगत/एकल, दम्पत्ति"</formula1>
    </dataValidation>
    <dataValidation type="list" allowBlank="1" showInputMessage="1" showErrorMessage="1" sqref="I13">
      <formula1>"नहुने, हुने"</formula1>
    </dataValidation>
    <dataValidation type="list" allowBlank="1" showInputMessage="1" showErrorMessage="1" sqref="I14">
      <formula1>"अन्य,क,ख,ग,घ,ङ"</formula1>
    </dataValidation>
    <dataValidation type="list" allowBlank="1" showInputMessage="1" showErrorMessage="1" sqref="I15:I16">
      <formula1>"बैशाख,जेठ,आषाढ,श्रावण,भाद्र,आश्विन,कार्तिक,मंसिर,पौष,माघ,फाल्गुन,चैत्र"</formula1>
    </dataValidation>
    <dataValidation type="list" allowBlank="1" showInputMessage="1" showErrorMessage="1" sqref="E30">
      <formula1>"पहाडी/तराई, हिमाली"</formula1>
    </dataValidation>
    <dataValidation type="list" allowBlank="1" showInputMessage="1" showErrorMessage="1" sqref="I22">
      <formula1>"अन्तिम ग्रेड होइन, अन्तिम ग्रेड हो"</formula1>
    </dataValidation>
  </dataValidations>
  <printOptions horizontalCentered="1"/>
  <pageMargins left="0.25" right="0.25" top="0.5" bottom="0.5" header="0.25" footer="0.35"/>
  <pageSetup paperSize="9" scale="46" fitToHeight="2" orientation="portrait" r:id="rId1"/>
  <headerFooter>
    <oddFooter>Page &amp;P of &amp;N</oddFooter>
  </headerFooter>
  <rowBreaks count="1" manualBreakCount="1">
    <brk id="6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Income Tax-Prakash Gautam</vt:lpstr>
      <vt:lpstr>'Income Tax-Prakash Gautam'!Print_Area</vt:lpstr>
      <vt:lpstr>'Income Tax-Prakash Gautam'!Print_Titles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meroprakash</dc:creator>
  <cp:lastModifiedBy>Bibek Rai</cp:lastModifiedBy>
  <cp:lastPrinted>2026-07-15T08:33:12Z</cp:lastPrinted>
  <dcterms:created xsi:type="dcterms:W3CDTF">2015-06-05T18:17:20Z</dcterms:created>
  <dcterms:modified xsi:type="dcterms:W3CDTF">2026-08-15T07:14:26Z</dcterms:modified>
</cp:coreProperties>
</file>